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adores Parciales" sheetId="1" r:id="rId4"/>
    <sheet state="visible" name="Polla Final" sheetId="2" r:id="rId5"/>
    <sheet state="visible" name="Pollas Semifinal" sheetId="3" r:id="rId6"/>
    <sheet state="visible" name="Pollas Cuartos de Final" sheetId="4" r:id="rId7"/>
    <sheet state="visible" name="Pollas Octavos de Final" sheetId="5" r:id="rId8"/>
    <sheet state="visible" name="Pollas Fase de Grupos" sheetId="6" r:id="rId9"/>
    <sheet state="visible" name="Puntajes Final" sheetId="7" r:id="rId10"/>
    <sheet state="visible" name="Puntajes Semifinal" sheetId="8" r:id="rId11"/>
    <sheet state="visible" name="Resultados Oficiales Final" sheetId="9" r:id="rId12"/>
    <sheet state="visible" name="Resultados SemiFinal Oficiales" sheetId="10" r:id="rId13"/>
    <sheet state="visible" name="Resultados Oficiales Cuartos de" sheetId="11" r:id="rId14"/>
    <sheet state="visible" name="Resultados Oficiales Octavos de" sheetId="12" r:id="rId15"/>
    <sheet state="visible" name="Resultados Oficiales Fase de Gr" sheetId="13" r:id="rId16"/>
    <sheet state="visible" name="Puntajes Cuartos de Final" sheetId="14" r:id="rId17"/>
    <sheet state="visible" name="Puntajes Fases de Grupos" sheetId="15" r:id="rId18"/>
    <sheet state="visible" name="Puntajes Octavos de Final" sheetId="16" r:id="rId19"/>
  </sheets>
  <definedNames>
    <definedName name="GANADOR_REAL">LAMBDA(cell, cell2, cell3, cell4, IFS(ISBLANK(cell2),"",cell2&gt;cell4,cell,cell4&gt;cell2,cell3,CELL2=CELL4,"EMPATE"))</definedName>
    <definedName name="PUNTAJE_GANADORES">LAMBDA(cell, cell2, cell3, cell4, cell5, cell6, IF(ISBLANK(CELL2),0,
IF(AND(cell=cell2,cell3=cell4),5, IF(AND(cell5=cell6,cell = cell2) , 3,IF(AND(cell5=cell6 ,cell3=cell4),3,IF(AND(cell5=cell6,CELL6="EMPATE",cell&lt;&gt;cell2,CELL3&lt;&gt;CELL4),1,
IF(AND(cell5=cell6,cell &lt;&gt;cell2,cell3 &lt;&gt;cell4),2,IF(OR(cell=cell2,cell3=cell4),1,0))))))))</definedName>
    <definedName name="PUNTAJE">LAMBDA(cell, cell2, cell3, cell4, cell5, cell6, IFS(ISBLANK(cell),0, cell&gt;cell2,3,cell=cell2,1,cell2&gt;cell,0)+IFS(ISBLANK(cell3),0,cell3&gt;cell4,3,cell3=cell4,1,cell4&gt;cell3,0)+IFS(ISBLANK(cell5),0,cell5&gt;cell6,3,cell5=cell6,1,cell6&gt;cell5,0))</definedName>
    <definedName name="PARTIDOS_GANADOS">LAMBDA(cell, cell2, cell3, cell4, cell5, cell6, IFS(ISBLANK(CELL),0,cell&gt;cell2,1,cell=cell2,0,cell2&gt;cell,0)+IFS(ISBLANK(CELL3),0,cell3&gt;cell4,1,cell3=cell4,0,cell4&gt;cell3,0)+IFS(ISBLANK(CELL5),0,cell5&gt;cell6,1,cell5=cell6,0,cell6&gt;cell5,0))</definedName>
    <definedName name="GOLES_FAVOR">LAMBDA(cell, cell2, cell3, CELL+CELL2+CELL3)</definedName>
    <definedName name="PARTIDOS_EMPATADOS">LAMBDA(cell, cell2, cell3, cell4, cell5, cell6, IFS(ISBLANK(CELL),0,cell&gt;cell2,0,cell=cell2,1,cell2&gt;cell,0)+IFS(ISBLANK(CELL3),0,cell3&gt;cell4,0,cell3=cell4,1,cell4&gt;cell3,0)+IFS(ISBLANK(CELL5),0,cell5&gt;cell6,0,cell5=cell6,1,cell6&gt;cell5,0))</definedName>
    <definedName name="GANADOR_MARCADOR_POLLA">LAMBDA(cell1, cell2, cell3, cell4, IF(cell1&gt;cell3,cell2,IF(cell3&gt;cell1,cell4,"EMPATE")))</definedName>
    <definedName name="PARTIDOS_PERDIDOS">LAMBDA(cell, cell2, cell3, cell4, cell5, cell6, IFS(ISBLANK(CELL),0,cell&gt;cell2,0,cell=cell2,0,cell2&gt;cell,1)+IFS(ISBLANK(CELL3),0,cell3&gt;cell4,0,cell3=cell4,0,cell4&gt;cell3,1)+IFS(ISBLANK(CELL5),0,cell5&gt;cell6,0,cell5=cell6,0,cell6&gt;cell5,1))</definedName>
    <definedName name="JUGADOS">LAMBDA(cell, cell2, cell3, IF(ISBLANK(cell),0,1)+IF(ISBLANK(cell2),0,1)+IF(ISBLANK(cell3),0,1))</definedName>
    <definedName name="GOLES_CONTRA">LAMBDA(cell, cell2, cell3, CELL+CELL2+CELL3)</definedName>
  </definedNames>
  <calcPr/>
</workbook>
</file>

<file path=xl/sharedStrings.xml><?xml version="1.0" encoding="utf-8"?>
<sst xmlns="http://schemas.openxmlformats.org/spreadsheetml/2006/main" count="1089" uniqueCount="257">
  <si>
    <t>Nombre</t>
  </si>
  <si>
    <t>Puntaje Parcial Fase de Grupos</t>
  </si>
  <si>
    <t xml:space="preserve">Puntaje Parcial Octavos de Final </t>
  </si>
  <si>
    <t>Puntaje Cuartos de Final</t>
  </si>
  <si>
    <t>Puntajes Semi Final</t>
  </si>
  <si>
    <t>Puntajes Final</t>
  </si>
  <si>
    <t>Puntaje Acumulado</t>
  </si>
  <si>
    <t>Argentina Vs Francia</t>
  </si>
  <si>
    <t>Croacia Vs Marruecos</t>
  </si>
  <si>
    <t>Marca temporal</t>
  </si>
  <si>
    <t>Dirección de correo electrónico</t>
  </si>
  <si>
    <t>Argentina</t>
  </si>
  <si>
    <t>Francia</t>
  </si>
  <si>
    <t>Croacia</t>
  </si>
  <si>
    <t>Marruecos</t>
  </si>
  <si>
    <t>boterovillegas2001@gmail.com</t>
  </si>
  <si>
    <t xml:space="preserve">Alejandro Botero </t>
  </si>
  <si>
    <t>juandalr97@gmail.com</t>
  </si>
  <si>
    <t xml:space="preserve">Marta Restrepo </t>
  </si>
  <si>
    <t>andrea.giraldogarcia@gmail.com</t>
  </si>
  <si>
    <t>Las Tejedoras</t>
  </si>
  <si>
    <t>miralorena@gmail.com</t>
  </si>
  <si>
    <t xml:space="preserve">TV y Novelas </t>
  </si>
  <si>
    <t>leonardo.valenciav@gmail.com</t>
  </si>
  <si>
    <t xml:space="preserve">Leonardo Valencia </t>
  </si>
  <si>
    <t>mcuidador@gmail.com</t>
  </si>
  <si>
    <t>Mauricio Perez (Mauro chef)</t>
  </si>
  <si>
    <t>vickastro8@gmail.com</t>
  </si>
  <si>
    <t>CasaVIII</t>
  </si>
  <si>
    <t>Lore Mira</t>
  </si>
  <si>
    <t>luisasanta@gmail.com</t>
  </si>
  <si>
    <t>La Qatarsis mundial</t>
  </si>
  <si>
    <t>adri.patri74@gmail.com</t>
  </si>
  <si>
    <t>Zafiro y Acero</t>
  </si>
  <si>
    <t>nanacorpas@gmail.com</t>
  </si>
  <si>
    <t xml:space="preserve">Ana Maria Corpas </t>
  </si>
  <si>
    <t>juanmanuelmontoya@hotmail.com</t>
  </si>
  <si>
    <t>Cristina Valentina Echeverry-Las fieras</t>
  </si>
  <si>
    <t>luifernaranjo@gmail.com</t>
  </si>
  <si>
    <t xml:space="preserve">Luis Fermin Naranjo Atehortua </t>
  </si>
  <si>
    <t>davidjaramillog@hotmail.com</t>
  </si>
  <si>
    <t>Vodka Juniors</t>
  </si>
  <si>
    <t>danielabedoyamartinez@gmail.com</t>
  </si>
  <si>
    <t>Lolita</t>
  </si>
  <si>
    <t>Andres y Cia.</t>
  </si>
  <si>
    <t>Pregunte por lo que no vea</t>
  </si>
  <si>
    <t>Pascual</t>
  </si>
  <si>
    <t>El cuculeito del balon</t>
  </si>
  <si>
    <t>Qatarsis 1.0</t>
  </si>
  <si>
    <t>Qatarsis 2.0</t>
  </si>
  <si>
    <t>John Jaramillo-Diogenes Restrepo</t>
  </si>
  <si>
    <t>Luchismo</t>
  </si>
  <si>
    <t>Guanabano Indigente</t>
  </si>
  <si>
    <t>La Perripolla</t>
  </si>
  <si>
    <t>Argentina Vs Croacia</t>
  </si>
  <si>
    <t>Francia Vs Marruecos</t>
  </si>
  <si>
    <t>Leonardo Valencia Valencia</t>
  </si>
  <si>
    <t>marespezazul@msn.com</t>
  </si>
  <si>
    <t>Marta Restrepo</t>
  </si>
  <si>
    <t>diegojoseduquegomez@gmail.com</t>
  </si>
  <si>
    <t>Emerson Alexis Gomez</t>
  </si>
  <si>
    <t>La qatarsis mundial</t>
  </si>
  <si>
    <t>TV y Novelas</t>
  </si>
  <si>
    <t>Luis Fermin Naranjo Artehourtua</t>
  </si>
  <si>
    <t>anambetancurj2022@gmail.com</t>
  </si>
  <si>
    <t>Los Betancruz</t>
  </si>
  <si>
    <t>hadadelanoche00@gmail.com</t>
  </si>
  <si>
    <t>Vickastro8@gmail.com</t>
  </si>
  <si>
    <t>Casa VIII</t>
  </si>
  <si>
    <t>rabodeajip@hotmail.com</t>
  </si>
  <si>
    <t>titancitouribe@gmail.com</t>
  </si>
  <si>
    <t xml:space="preserve">correavanegas25@gmail.com </t>
  </si>
  <si>
    <t>Andres &amp; Cia</t>
  </si>
  <si>
    <t>Alejandro Botero</t>
  </si>
  <si>
    <t>cristimesa26@gmail.com</t>
  </si>
  <si>
    <t>pregunte por lo que no vea</t>
  </si>
  <si>
    <t>axlgarcia1984@gmail.com</t>
  </si>
  <si>
    <t>Alex Garcia</t>
  </si>
  <si>
    <t>Club Atletico Vodka Juniors</t>
  </si>
  <si>
    <t>juanmontoya.derecho@gmail.com</t>
  </si>
  <si>
    <t>Juan Esteban Montoya Hincapie</t>
  </si>
  <si>
    <t>gilipollaguanabano@gmail.com</t>
  </si>
  <si>
    <t>Safiro y Acero</t>
  </si>
  <si>
    <t>gilipollaguanbano@gmail.com</t>
  </si>
  <si>
    <t>Cristina Valentina Echeverri- Las fieras</t>
  </si>
  <si>
    <t>Ana Maria Corpas</t>
  </si>
  <si>
    <t>Guanabano Indigene</t>
  </si>
  <si>
    <t>Cristina Valencia Echeverrri-Las fieras</t>
  </si>
  <si>
    <t>Ana María Corpas</t>
  </si>
  <si>
    <t>Croacia Vs Brasil</t>
  </si>
  <si>
    <t>Argentina Vs Paises Bajos</t>
  </si>
  <si>
    <t>Marruecos Vs Portugal</t>
  </si>
  <si>
    <t>Inglaterra Vs Francia</t>
  </si>
  <si>
    <t>Brasil</t>
  </si>
  <si>
    <t>Paises Bajos</t>
  </si>
  <si>
    <t>Portugal</t>
  </si>
  <si>
    <t>Inglaterra</t>
  </si>
  <si>
    <t>Las tejedoras</t>
  </si>
  <si>
    <t xml:space="preserve">titancitouribe@gmail.com </t>
  </si>
  <si>
    <t>1A Vs 2B</t>
  </si>
  <si>
    <t>1B Vs 2A</t>
  </si>
  <si>
    <t>1C Vs 2D</t>
  </si>
  <si>
    <t>1D Vs 2C</t>
  </si>
  <si>
    <t>1E Vs 2F</t>
  </si>
  <si>
    <t>1F Vs 2E</t>
  </si>
  <si>
    <t>1G Vs 2H</t>
  </si>
  <si>
    <t>1H Vs 2G</t>
  </si>
  <si>
    <t>Estados Unidos</t>
  </si>
  <si>
    <t>Senegal</t>
  </si>
  <si>
    <t>Australia</t>
  </si>
  <si>
    <t>Polonia</t>
  </si>
  <si>
    <t>Japón</t>
  </si>
  <si>
    <t>España</t>
  </si>
  <si>
    <t>Corea del Sur</t>
  </si>
  <si>
    <t>Suiza</t>
  </si>
  <si>
    <t>victoriafiaz67@gmail.com</t>
  </si>
  <si>
    <t>lauracamersi803@gmail.com</t>
  </si>
  <si>
    <t>manuelmontoya@yahoo.com</t>
  </si>
  <si>
    <t>piritadehierro@gmail.com</t>
  </si>
  <si>
    <t>sandra.barrientos@udea.edu.co</t>
  </si>
  <si>
    <t>Qatar vs Ecuador</t>
  </si>
  <si>
    <t>Senegal vs Paises Bajos</t>
  </si>
  <si>
    <t>Qatar vs Senegal</t>
  </si>
  <si>
    <t>Paises Bajos vs Ecuador</t>
  </si>
  <si>
    <t>Paises Bajos vs Qatar</t>
  </si>
  <si>
    <t>Ecuador vs Senegal</t>
  </si>
  <si>
    <t>Inglaterra vs Iran</t>
  </si>
  <si>
    <t>Estados Unidos vs Gales</t>
  </si>
  <si>
    <t>Inglaterra vs Estados Unidos</t>
  </si>
  <si>
    <t>Gales vs Iran</t>
  </si>
  <si>
    <t>Gales vs Inglaterra</t>
  </si>
  <si>
    <t>Iran vs Estados Unidos</t>
  </si>
  <si>
    <t>Argentina vs Arabia Saudita</t>
  </si>
  <si>
    <t>Mexico vs Polonia</t>
  </si>
  <si>
    <t>Argentina vs Mexico</t>
  </si>
  <si>
    <t>Polonia vs Arabia Saudita</t>
  </si>
  <si>
    <t>Polonia vs Argentina</t>
  </si>
  <si>
    <t>Arabia Saudita vs Mexico</t>
  </si>
  <si>
    <t>Francia vs Australia</t>
  </si>
  <si>
    <t>Dinamarca vs Tunez</t>
  </si>
  <si>
    <t>Francia vs Dinamarca</t>
  </si>
  <si>
    <t>Tunez vs Australia</t>
  </si>
  <si>
    <t>Tunez vs Francia</t>
  </si>
  <si>
    <t>Australia vs Dinamarca</t>
  </si>
  <si>
    <t>España vs Costa Rica</t>
  </si>
  <si>
    <t>Alemania vs Japon</t>
  </si>
  <si>
    <t>España vs Alemania</t>
  </si>
  <si>
    <t>Japón vs Costa Rica</t>
  </si>
  <si>
    <t>Japón vs España</t>
  </si>
  <si>
    <t>Costa Rica vs Alemania</t>
  </si>
  <si>
    <t>Belgica vs Canada</t>
  </si>
  <si>
    <t>Marruecos vs Croacia</t>
  </si>
  <si>
    <t>Belgica vs Marruecos</t>
  </si>
  <si>
    <t>Croacia vs Canada</t>
  </si>
  <si>
    <t>Croacia vs Belgica</t>
  </si>
  <si>
    <t>Canada vs Marruecos</t>
  </si>
  <si>
    <t>Brasil vs Serbia</t>
  </si>
  <si>
    <t>Suiza vs Camerun</t>
  </si>
  <si>
    <t>Brasil vs Suiza</t>
  </si>
  <si>
    <t>Camerun vs Serbia</t>
  </si>
  <si>
    <t>Camerun vs Brasil</t>
  </si>
  <si>
    <t>Serbia vs Suiza</t>
  </si>
  <si>
    <t>Portugal vs Ghana</t>
  </si>
  <si>
    <t>Uruguay vs Corea del Sur</t>
  </si>
  <si>
    <t>Portugal vs Uruguay</t>
  </si>
  <si>
    <t>Corea del Sur vs Ghana</t>
  </si>
  <si>
    <t>Corea del Sur vs Portugal</t>
  </si>
  <si>
    <t>Ghana vs Uruguay</t>
  </si>
  <si>
    <t>Seleccione el Grupo</t>
  </si>
  <si>
    <t>Qatar</t>
  </si>
  <si>
    <t>Ecuador</t>
  </si>
  <si>
    <t>Iran</t>
  </si>
  <si>
    <t>Gales</t>
  </si>
  <si>
    <t>Arabia Saudita</t>
  </si>
  <si>
    <t>Mexico</t>
  </si>
  <si>
    <t>Dinamarca</t>
  </si>
  <si>
    <t>Tunez</t>
  </si>
  <si>
    <t>Costa Rica</t>
  </si>
  <si>
    <t>Alemania</t>
  </si>
  <si>
    <t>Japon</t>
  </si>
  <si>
    <t>Belgica</t>
  </si>
  <si>
    <t>Canada</t>
  </si>
  <si>
    <t>Serbia</t>
  </si>
  <si>
    <t>Camerun</t>
  </si>
  <si>
    <t>Ghana</t>
  </si>
  <si>
    <t>Uruguay</t>
  </si>
  <si>
    <t>Goleador del mundial</t>
  </si>
  <si>
    <t>Valla menos vencida</t>
  </si>
  <si>
    <t>Equipo más goleador</t>
  </si>
  <si>
    <t/>
  </si>
  <si>
    <t>Grupo H</t>
  </si>
  <si>
    <t>Kylian Mbappe</t>
  </si>
  <si>
    <t>Neymar</t>
  </si>
  <si>
    <t>Lautaro Martínez</t>
  </si>
  <si>
    <t>Bélgica</t>
  </si>
  <si>
    <t>Gabriel Badsa</t>
  </si>
  <si>
    <t>Lionel Messi</t>
  </si>
  <si>
    <t>luisfernnaranjo@gmail.com</t>
  </si>
  <si>
    <t>Vinicius Jose</t>
  </si>
  <si>
    <t>Leonel Messi</t>
  </si>
  <si>
    <t>Henry Kane</t>
  </si>
  <si>
    <t>Victor Agudelo</t>
  </si>
  <si>
    <t>Julian Alvarez</t>
  </si>
  <si>
    <t>correavanegas25@gmail.com</t>
  </si>
  <si>
    <t>alejo.salazar.g@gmail.com</t>
  </si>
  <si>
    <t>Karim Benzema</t>
  </si>
  <si>
    <t>cadaja78@hotmail.com</t>
  </si>
  <si>
    <t>leonardo.valencia@gmail.com</t>
  </si>
  <si>
    <t>Ganador</t>
  </si>
  <si>
    <t>Puntaje</t>
  </si>
  <si>
    <t>Puntaje Parcial</t>
  </si>
  <si>
    <t>Fecha</t>
  </si>
  <si>
    <t>Equipo</t>
  </si>
  <si>
    <t>Goles</t>
  </si>
  <si>
    <t>GANADOR</t>
  </si>
  <si>
    <t>A</t>
  </si>
  <si>
    <t>Grupo A</t>
  </si>
  <si>
    <t>Pos</t>
  </si>
  <si>
    <t>Selección</t>
  </si>
  <si>
    <t>Pts</t>
  </si>
  <si>
    <t>J</t>
  </si>
  <si>
    <t>G</t>
  </si>
  <si>
    <t>E</t>
  </si>
  <si>
    <t>P</t>
  </si>
  <si>
    <t>GF</t>
  </si>
  <si>
    <t>GC</t>
  </si>
  <si>
    <t>DG</t>
  </si>
  <si>
    <t>B</t>
  </si>
  <si>
    <t>Grupo B</t>
  </si>
  <si>
    <t xml:space="preserve">Iran </t>
  </si>
  <si>
    <t>C</t>
  </si>
  <si>
    <t>Grupo C</t>
  </si>
  <si>
    <t>D</t>
  </si>
  <si>
    <t>Grupo D</t>
  </si>
  <si>
    <t xml:space="preserve">España </t>
  </si>
  <si>
    <t>Grupo E</t>
  </si>
  <si>
    <t>F</t>
  </si>
  <si>
    <t>Grupo F</t>
  </si>
  <si>
    <t>Grupo G</t>
  </si>
  <si>
    <t>H</t>
  </si>
  <si>
    <t>NOMBRE</t>
  </si>
  <si>
    <t>Qatar Vs Ecuador</t>
  </si>
  <si>
    <t>Senegal Vs Paises Bajos</t>
  </si>
  <si>
    <t>Qatar Vs Senegal</t>
  </si>
  <si>
    <t>Puntos</t>
  </si>
  <si>
    <t xml:space="preserve">PUNTOS </t>
  </si>
  <si>
    <t>PUNTOS VERIFICADOS</t>
  </si>
  <si>
    <t>Nombres</t>
  </si>
  <si>
    <t>Paises Bajos Vs Estados Unidos</t>
  </si>
  <si>
    <t>Argentina Vs Australia</t>
  </si>
  <si>
    <t>Francia Vs Polonia</t>
  </si>
  <si>
    <t>Inglaterra Vs Senegal</t>
  </si>
  <si>
    <t>Japón Vs Croacia</t>
  </si>
  <si>
    <t>Brasil Vs Corea del Sur</t>
  </si>
  <si>
    <t>Marruecos Vs España</t>
  </si>
  <si>
    <t>Portugal Vs Suiza</t>
  </si>
  <si>
    <t>Puntos Octavos de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</si>
</sst>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dd/mm/yyyy"/>
    <numFmt numFmtId="166" formatCode="d/m/yyyy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Inconsolata"/>
    </font>
    <font/>
    <font>
      <color rgb="FF000000"/>
      <name val="Arial"/>
    </font>
    <font>
      <color rgb="FF000000"/>
      <name val="Arial"/>
      <scheme val="minor"/>
    </font>
    <font>
      <sz val="11.0"/>
      <color rgb="FF000000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F3F3F3"/>
        <bgColor rgb="FFF3F3F3"/>
      </patternFill>
    </fill>
    <fill>
      <patternFill patternType="solid">
        <fgColor rgb="FFD9D2E9"/>
        <bgColor rgb="FFD9D2E9"/>
      </patternFill>
    </fill>
  </fills>
  <borders count="8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Font="1"/>
    <xf borderId="0" fillId="0" fontId="2" numFmtId="0" xfId="0" applyAlignment="1" applyFont="1">
      <alignment horizontal="center"/>
    </xf>
    <xf borderId="0" fillId="2" fontId="3" numFmtId="0" xfId="0" applyAlignment="1" applyFill="1" applyFont="1">
      <alignment horizontal="center"/>
    </xf>
    <xf borderId="0" fillId="0" fontId="2" numFmtId="0" xfId="0" applyFont="1"/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5" fontId="2" numFmtId="0" xfId="0" applyAlignment="1" applyFill="1" applyFont="1">
      <alignment horizontal="center" readingOrder="0"/>
    </xf>
    <xf borderId="0" fillId="6" fontId="2" numFmtId="0" xfId="0" applyAlignment="1" applyFill="1" applyFont="1">
      <alignment horizontal="center" readingOrder="0"/>
    </xf>
    <xf borderId="0" fillId="5" fontId="2" numFmtId="0" xfId="0" applyAlignment="1" applyFont="1">
      <alignment horizontal="center"/>
    </xf>
    <xf borderId="0" fillId="6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1" fillId="7" fontId="2" numFmtId="0" xfId="0" applyAlignment="1" applyBorder="1" applyFill="1" applyFont="1">
      <alignment horizontal="center" readingOrder="0"/>
    </xf>
    <xf borderId="2" fillId="0" fontId="4" numFmtId="0" xfId="0" applyBorder="1" applyFont="1"/>
    <xf borderId="1" fillId="6" fontId="2" numFmtId="0" xfId="0" applyAlignment="1" applyBorder="1" applyFont="1">
      <alignment horizontal="center" readingOrder="0"/>
    </xf>
    <xf borderId="3" fillId="7" fontId="2" numFmtId="0" xfId="0" applyAlignment="1" applyBorder="1" applyFont="1">
      <alignment horizontal="center"/>
    </xf>
    <xf borderId="4" fillId="7" fontId="2" numFmtId="0" xfId="0" applyAlignment="1" applyBorder="1" applyFont="1">
      <alignment horizontal="center"/>
    </xf>
    <xf borderId="3" fillId="6" fontId="2" numFmtId="0" xfId="0" applyAlignment="1" applyBorder="1" applyFont="1">
      <alignment horizontal="center"/>
    </xf>
    <xf borderId="4" fillId="6" fontId="2" numFmtId="0" xfId="0" applyAlignment="1" applyBorder="1" applyFont="1">
      <alignment horizontal="center"/>
    </xf>
    <xf borderId="0" fillId="8" fontId="2" numFmtId="0" xfId="0" applyAlignment="1" applyFill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8" fontId="6" numFmtId="0" xfId="0" applyAlignment="1" applyFont="1">
      <alignment readingOrder="0"/>
    </xf>
    <xf borderId="5" fillId="7" fontId="2" numFmtId="0" xfId="0" applyAlignment="1" applyBorder="1" applyFont="1">
      <alignment horizontal="center" readingOrder="0"/>
    </xf>
    <xf borderId="6" fillId="0" fontId="4" numFmtId="0" xfId="0" applyBorder="1" applyFont="1"/>
    <xf borderId="5" fillId="6" fontId="2" numFmtId="0" xfId="0" applyAlignment="1" applyBorder="1" applyFont="1">
      <alignment horizontal="center" readingOrder="0"/>
    </xf>
    <xf borderId="0" fillId="6" fontId="2" numFmtId="0" xfId="0" applyAlignment="1" applyFont="1">
      <alignment horizontal="center" readingOrder="0"/>
    </xf>
    <xf borderId="7" fillId="7" fontId="2" numFmtId="0" xfId="0" applyAlignment="1" applyBorder="1" applyFont="1">
      <alignment horizontal="center" readingOrder="0"/>
    </xf>
    <xf borderId="7" fillId="7" fontId="2" numFmtId="0" xfId="0" applyAlignment="1" applyBorder="1" applyFont="1">
      <alignment horizontal="center"/>
    </xf>
    <xf borderId="7" fillId="6" fontId="2" numFmtId="0" xfId="0" applyAlignment="1" applyBorder="1" applyFont="1">
      <alignment horizontal="center"/>
    </xf>
    <xf borderId="0" fillId="6" fontId="2" numFmtId="49" xfId="0" applyAlignment="1" applyFont="1" applyNumberFormat="1">
      <alignment horizontal="center" readingOrder="0"/>
    </xf>
    <xf borderId="7" fillId="6" fontId="2" numFmtId="0" xfId="0" applyAlignment="1" applyBorder="1" applyFont="1">
      <alignment horizontal="center" readingOrder="0"/>
    </xf>
    <xf borderId="0" fillId="7" fontId="2" numFmtId="0" xfId="0" applyAlignment="1" applyFont="1">
      <alignment horizontal="center" readingOrder="0"/>
    </xf>
    <xf borderId="0" fillId="7" fontId="2" numFmtId="0" xfId="0" applyAlignment="1" applyFont="1">
      <alignment horizontal="center" readingOrder="0"/>
    </xf>
    <xf borderId="0" fillId="6" fontId="2" numFmtId="0" xfId="0" applyAlignment="1" applyFont="1">
      <alignment horizontal="center" readingOrder="0"/>
    </xf>
    <xf borderId="0" fillId="6" fontId="6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9" fontId="2" numFmtId="165" xfId="0" applyAlignment="1" applyFill="1" applyFont="1" applyNumberFormat="1">
      <alignment readingOrder="0"/>
    </xf>
    <xf borderId="0" fillId="9" fontId="2" numFmtId="0" xfId="0" applyAlignment="1" applyFont="1">
      <alignment horizontal="center" readingOrder="0"/>
    </xf>
    <xf borderId="0" fillId="9" fontId="2" numFmtId="0" xfId="0" applyAlignment="1" applyFont="1">
      <alignment horizontal="center"/>
    </xf>
    <xf borderId="0" fillId="0" fontId="2" numFmtId="165" xfId="0" applyAlignment="1" applyFont="1" applyNumberFormat="1">
      <alignment readingOrder="0"/>
    </xf>
    <xf borderId="0" fillId="3" fontId="2" numFmtId="165" xfId="0" applyAlignment="1" applyFont="1" applyNumberFormat="1">
      <alignment readingOrder="0"/>
    </xf>
    <xf borderId="0" fillId="3" fontId="2" numFmtId="0" xfId="0" applyAlignment="1" applyFont="1">
      <alignment horizontal="center" readingOrder="0"/>
    </xf>
    <xf borderId="0" fillId="3" fontId="2" numFmtId="0" xfId="0" applyAlignment="1" applyFont="1">
      <alignment horizontal="center"/>
    </xf>
    <xf borderId="0" fillId="8" fontId="2" numFmtId="0" xfId="0" applyAlignment="1" applyFont="1">
      <alignment horizontal="center" readingOrder="0"/>
    </xf>
    <xf borderId="0" fillId="8" fontId="2" numFmtId="0" xfId="0" applyAlignment="1" applyFont="1">
      <alignment horizontal="center"/>
    </xf>
    <xf borderId="0" fillId="0" fontId="2" numFmtId="166" xfId="0" applyAlignment="1" applyFont="1" applyNumberFormat="1">
      <alignment readingOrder="0"/>
    </xf>
    <xf borderId="0" fillId="4" fontId="2" numFmtId="0" xfId="0" applyAlignment="1" applyFont="1">
      <alignment horizontal="center" readingOrder="0"/>
    </xf>
    <xf borderId="0" fillId="4" fontId="2" numFmtId="0" xfId="0" applyAlignment="1" applyFont="1">
      <alignment horizontal="center"/>
    </xf>
    <xf borderId="0" fillId="0" fontId="2" numFmtId="165" xfId="0" applyAlignment="1" applyFont="1" applyNumberFormat="1">
      <alignment horizontal="center" readingOrder="0"/>
    </xf>
    <xf borderId="0" fillId="7" fontId="2" numFmtId="0" xfId="0" applyAlignment="1" applyFont="1">
      <alignment horizontal="center"/>
    </xf>
    <xf borderId="0" fillId="9" fontId="2" numFmtId="0" xfId="0" applyAlignment="1" applyFont="1">
      <alignment horizontal="center" readingOrder="0" shrinkToFit="0" vertical="center" wrapText="1"/>
    </xf>
    <xf borderId="0" fillId="10" fontId="2" numFmtId="166" xfId="0" applyAlignment="1" applyFill="1" applyFont="1" applyNumberFormat="1">
      <alignment readingOrder="0"/>
    </xf>
    <xf borderId="0" fillId="10" fontId="2" numFmtId="0" xfId="0" applyAlignment="1" applyFont="1">
      <alignment readingOrder="0"/>
    </xf>
    <xf borderId="0" fillId="10" fontId="2" numFmtId="1" xfId="0" applyAlignment="1" applyFont="1" applyNumberFormat="1">
      <alignment readingOrder="0"/>
    </xf>
    <xf borderId="0" fillId="10" fontId="2" numFmtId="0" xfId="0" applyFont="1"/>
    <xf borderId="0" fillId="5" fontId="2" numFmtId="166" xfId="0" applyAlignment="1" applyFont="1" applyNumberFormat="1">
      <alignment readingOrder="0"/>
    </xf>
    <xf borderId="0" fillId="5" fontId="2" numFmtId="0" xfId="0" applyAlignment="1" applyFont="1">
      <alignment readingOrder="0"/>
    </xf>
    <xf borderId="0" fillId="5" fontId="2" numFmtId="0" xfId="0" applyFont="1"/>
    <xf borderId="0" fillId="0" fontId="2" numFmtId="1" xfId="0" applyFont="1" applyNumberFormat="1"/>
    <xf borderId="0" fillId="8" fontId="2" numFmtId="166" xfId="0" applyAlignment="1" applyFont="1" applyNumberFormat="1">
      <alignment readingOrder="0"/>
    </xf>
    <xf borderId="0" fillId="8" fontId="2" numFmtId="0" xfId="0" applyFont="1"/>
    <xf borderId="0" fillId="2" fontId="0" numFmtId="0" xfId="0" applyFont="1"/>
    <xf borderId="0" fillId="6" fontId="2" numFmtId="0" xfId="0" applyAlignment="1" applyFont="1">
      <alignment horizontal="center" readingOrder="0" vertical="center"/>
    </xf>
    <xf borderId="0" fillId="0" fontId="2" numFmtId="1" xfId="0" applyFont="1" applyNumberFormat="1"/>
    <xf borderId="0" fillId="8" fontId="2" numFmtId="49" xfId="0" applyAlignment="1" applyFont="1" applyNumberFormat="1">
      <alignment readingOrder="0"/>
    </xf>
    <xf borderId="0" fillId="8" fontId="2" numFmtId="1" xfId="0" applyAlignment="1" applyFont="1" applyNumberFormat="1">
      <alignment readingOrder="0"/>
    </xf>
    <xf borderId="0" fillId="9" fontId="2" numFmtId="0" xfId="0" applyAlignment="1" applyFont="1">
      <alignment horizontal="center" readingOrder="0" vertical="center"/>
    </xf>
    <xf borderId="0" fillId="6" fontId="2" numFmtId="166" xfId="0" applyAlignment="1" applyFont="1" applyNumberFormat="1">
      <alignment readingOrder="0"/>
    </xf>
    <xf borderId="0" fillId="6" fontId="2" numFmtId="0" xfId="0" applyAlignment="1" applyFont="1">
      <alignment readingOrder="0"/>
    </xf>
    <xf borderId="0" fillId="6" fontId="2" numFmtId="0" xfId="0" applyFont="1"/>
    <xf borderId="0" fillId="4" fontId="2" numFmtId="166" xfId="0" applyAlignment="1" applyFont="1" applyNumberFormat="1">
      <alignment readingOrder="0"/>
    </xf>
    <xf borderId="0" fillId="4" fontId="2" numFmtId="0" xfId="0" applyFont="1"/>
    <xf borderId="0" fillId="11" fontId="2" numFmtId="0" xfId="0" applyAlignment="1" applyFill="1" applyFont="1">
      <alignment readingOrder="0"/>
    </xf>
    <xf borderId="0" fillId="11" fontId="2" numFmtId="0" xfId="0" applyFont="1"/>
    <xf borderId="0" fillId="3" fontId="2" numFmtId="0" xfId="0" applyFont="1"/>
    <xf borderId="0" fillId="7" fontId="2" numFmtId="0" xfId="0" applyAlignment="1" applyFont="1">
      <alignment readingOrder="0"/>
    </xf>
    <xf borderId="0" fillId="7" fontId="2" numFmtId="0" xfId="0" applyFont="1"/>
    <xf borderId="0" fillId="9" fontId="2" numFmtId="0" xfId="0" applyAlignment="1" applyFont="1">
      <alignment readingOrder="0"/>
    </xf>
    <xf borderId="0" fillId="9" fontId="2" numFmtId="0" xfId="0" applyFont="1"/>
    <xf borderId="0" fillId="2" fontId="7" numFmtId="0" xfId="0" applyAlignment="1" applyFont="1">
      <alignment horizontal="center"/>
    </xf>
    <xf borderId="0" fillId="2" fontId="7" numFmtId="0" xfId="0" applyAlignment="1" applyFont="1">
      <alignment horizontal="center" readingOrder="0"/>
    </xf>
    <xf borderId="0" fillId="2" fontId="7" numFmtId="0" xfId="0" applyAlignment="1" applyFont="1">
      <alignment horizontal="center"/>
    </xf>
    <xf borderId="0" fillId="2" fontId="7" numFmtId="49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75"/>
    <col customWidth="1" min="2" max="2" width="13.88"/>
    <col customWidth="1" min="3" max="3" width="17.25"/>
    <col customWidth="1" min="4" max="4" width="16.63"/>
    <col customWidth="1" min="5" max="7" width="16.75"/>
  </cols>
  <sheetData>
    <row r="1" ht="50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 t="str">
        <f>'Puntajes Fases de Grupos'!A3</f>
        <v>Mauricio Perez (Mauro chef)</v>
      </c>
      <c r="B2" s="4">
        <f>'Puntajes Fases de Grupos'!CT3</f>
        <v>92</v>
      </c>
      <c r="C2" s="4">
        <f>VLOOKUP(A2,'Puntajes Octavos de Final'!$A$3:$R$31,18,0)</f>
        <v>19</v>
      </c>
      <c r="D2" s="5">
        <f>VLOOKUP(A2,'Puntajes Cuartos de Final'!$A$3:$J$31,10,0)</f>
        <v>6</v>
      </c>
      <c r="E2" s="4">
        <f>VLOOKUP(A2,'Puntajes Semifinal'!$A$3:$F$31,6,0)</f>
        <v>7</v>
      </c>
      <c r="F2" s="4" t="str">
        <f>VLOOKUP(A2,'Puntajes Final'!A3:F31,6,0)</f>
        <v/>
      </c>
      <c r="G2" s="4">
        <f t="shared" ref="G2:G30" si="1">SUM(B2,C2,D2,E2)</f>
        <v>124</v>
      </c>
    </row>
    <row r="3">
      <c r="A3" s="3" t="str">
        <f>'Puntajes Fases de Grupos'!A25</f>
        <v>El cuculeito del balon</v>
      </c>
      <c r="B3" s="4">
        <f>'Puntajes Fases de Grupos'!CT25</f>
        <v>92</v>
      </c>
      <c r="C3" s="4">
        <f>VLOOKUP(A3,'Puntajes Octavos de Final'!$A$3:$R$31,18,0)</f>
        <v>15</v>
      </c>
      <c r="D3" s="5">
        <f>VLOOKUP(A3,'Puntajes Cuartos de Final'!$A$3:$J$31,10,0)</f>
        <v>6</v>
      </c>
      <c r="E3" s="4">
        <f>VLOOKUP(A3,'Puntajes Semifinal'!$A$3:$F$31,6,0)</f>
        <v>3</v>
      </c>
      <c r="F3" s="4" t="str">
        <f>VLOOKUP(A3,'Puntajes Final'!A4:F32,6,0)</f>
        <v>#N/A</v>
      </c>
      <c r="G3" s="4">
        <f t="shared" si="1"/>
        <v>116</v>
      </c>
    </row>
    <row r="4">
      <c r="A4" s="3" t="str">
        <f>'Puntajes Fases de Grupos'!A24</f>
        <v>TV y Novelas</v>
      </c>
      <c r="B4" s="4">
        <f>'Puntajes Fases de Grupos'!CT24</f>
        <v>82</v>
      </c>
      <c r="C4" s="4">
        <f>VLOOKUP(A4,'Puntajes Octavos de Final'!$A$3:$R$31,18,0)</f>
        <v>24</v>
      </c>
      <c r="D4" s="5">
        <f>VLOOKUP(A4,'Puntajes Cuartos de Final'!$A$3:$J$31,10,0)</f>
        <v>6</v>
      </c>
      <c r="E4" s="4">
        <f>VLOOKUP(A4,'Puntajes Semifinal'!$A$3:$F$31,6,0)</f>
        <v>5</v>
      </c>
      <c r="F4" s="4" t="str">
        <f>VLOOKUP(A4,'Puntajes Final'!A5:F33,6,0)</f>
        <v>#N/A</v>
      </c>
      <c r="G4" s="4">
        <f t="shared" si="1"/>
        <v>117</v>
      </c>
    </row>
    <row r="5">
      <c r="A5" s="3" t="str">
        <f>'Puntajes Fases de Grupos'!A23</f>
        <v>Qatarsis 2.0</v>
      </c>
      <c r="B5" s="4">
        <f>'Puntajes Fases de Grupos'!CT23</f>
        <v>84</v>
      </c>
      <c r="C5" s="4">
        <f>VLOOKUP(A5,'Puntajes Octavos de Final'!$A$3:$R$31,18,0)</f>
        <v>23</v>
      </c>
      <c r="D5" s="5">
        <f>VLOOKUP(A5,'Puntajes Cuartos de Final'!$A$3:$J$31,10,0)</f>
        <v>4</v>
      </c>
      <c r="E5" s="4">
        <f>VLOOKUP(A5,'Puntajes Semifinal'!$A$3:$F$31,6,0)</f>
        <v>0</v>
      </c>
      <c r="F5" s="4" t="str">
        <f>VLOOKUP(A5,'Puntajes Final'!A6:F34,6,0)</f>
        <v>#N/A</v>
      </c>
      <c r="G5" s="4">
        <f t="shared" si="1"/>
        <v>111</v>
      </c>
    </row>
    <row r="6">
      <c r="A6" s="3" t="str">
        <f>'Puntajes Fases de Grupos'!A27</f>
        <v>La Perripolla</v>
      </c>
      <c r="B6" s="4">
        <f>'Puntajes Fases de Grupos'!CT27</f>
        <v>81</v>
      </c>
      <c r="C6" s="4">
        <f>VLOOKUP(A6,'Puntajes Octavos de Final'!$A$3:$R$31,18,0)</f>
        <v>19</v>
      </c>
      <c r="D6" s="5">
        <f>VLOOKUP(A6,'Puntajes Cuartos de Final'!$A$3:$J$31,10,0)</f>
        <v>8</v>
      </c>
      <c r="E6" s="4">
        <f>VLOOKUP(A6,'Puntajes Semifinal'!$A$3:$F$31,6,0)</f>
        <v>3</v>
      </c>
      <c r="F6" s="4" t="str">
        <f>VLOOKUP(A6,'Puntajes Final'!A7:F35,6,0)</f>
        <v>#N/A</v>
      </c>
      <c r="G6" s="4">
        <f t="shared" si="1"/>
        <v>111</v>
      </c>
    </row>
    <row r="7">
      <c r="A7" s="3" t="str">
        <f>'Puntajes Fases de Grupos'!A29</f>
        <v>Lolita</v>
      </c>
      <c r="B7" s="4">
        <f>'Puntajes Fases de Grupos'!CT29</f>
        <v>76</v>
      </c>
      <c r="C7" s="4">
        <f>VLOOKUP(A7,'Puntajes Octavos de Final'!$A$3:$R$31,18,0)</f>
        <v>20</v>
      </c>
      <c r="D7" s="5">
        <f>VLOOKUP(A7,'Puntajes Cuartos de Final'!$A$3:$J$31,10,0)</f>
        <v>3</v>
      </c>
      <c r="E7" s="4">
        <f>VLOOKUP(A7,'Puntajes Semifinal'!$A$3:$F$31,6,0)</f>
        <v>5</v>
      </c>
      <c r="F7" s="4" t="str">
        <f>VLOOKUP(A7,'Puntajes Final'!A8:F36,6,0)</f>
        <v>#N/A</v>
      </c>
      <c r="G7" s="4">
        <f t="shared" si="1"/>
        <v>104</v>
      </c>
    </row>
    <row r="8">
      <c r="A8" s="3" t="str">
        <f>'Puntajes Fases de Grupos'!A11</f>
        <v>Luchismo</v>
      </c>
      <c r="B8" s="4">
        <f>'Puntajes Fases de Grupos'!CT11</f>
        <v>74</v>
      </c>
      <c r="C8" s="4">
        <f>VLOOKUP(A8,'Puntajes Octavos de Final'!$A$3:$R$31,18,0)</f>
        <v>15</v>
      </c>
      <c r="D8" s="5">
        <f>VLOOKUP(A8,'Puntajes Cuartos de Final'!$A$3:$J$31,10,0)</f>
        <v>8</v>
      </c>
      <c r="E8" s="4">
        <f>VLOOKUP(A8,'Puntajes Semifinal'!$A$3:$F$31,6,0)</f>
        <v>0</v>
      </c>
      <c r="F8" s="4" t="str">
        <f>VLOOKUP(A8,'Puntajes Final'!A9:F37,6,0)</f>
        <v>#N/A</v>
      </c>
      <c r="G8" s="4">
        <f t="shared" si="1"/>
        <v>97</v>
      </c>
    </row>
    <row r="9">
      <c r="A9" s="3" t="str">
        <f>'Puntajes Fases de Grupos'!A28</f>
        <v>Ana Maria Corpas</v>
      </c>
      <c r="B9" s="4">
        <f>'Puntajes Fases de Grupos'!CT28</f>
        <v>79</v>
      </c>
      <c r="C9" s="4">
        <f>VLOOKUP(A9,'Puntajes Octavos de Final'!$A$3:$R$31,18,0)</f>
        <v>15</v>
      </c>
      <c r="D9" s="5">
        <f>VLOOKUP(A9,'Puntajes Cuartos de Final'!$A$3:$J$31,10,0)</f>
        <v>6</v>
      </c>
      <c r="E9" s="4">
        <f>VLOOKUP(A9,'Puntajes Semifinal'!$A$3:$F$31,6,0)</f>
        <v>3</v>
      </c>
      <c r="F9" s="4" t="str">
        <f>VLOOKUP(A9,'Puntajes Final'!A10:F38,6,0)</f>
        <v>#N/A</v>
      </c>
      <c r="G9" s="4">
        <f t="shared" si="1"/>
        <v>103</v>
      </c>
    </row>
    <row r="10">
      <c r="A10" s="3" t="str">
        <f>'Puntajes Fases de Grupos'!A20</f>
        <v>Andres &amp; Cia</v>
      </c>
      <c r="B10" s="4">
        <f>'Puntajes Fases de Grupos'!CT20</f>
        <v>77</v>
      </c>
      <c r="C10" s="4">
        <f>VLOOKUP(A10,'Puntajes Octavos de Final'!$A$3:$R$31,18,0)</f>
        <v>15</v>
      </c>
      <c r="D10" s="5">
        <f>VLOOKUP(A10,'Puntajes Cuartos de Final'!$A$3:$J$31,10,0)</f>
        <v>3</v>
      </c>
      <c r="E10" s="4">
        <f>VLOOKUP(A10,'Puntajes Semifinal'!$A$3:$F$31,6,0)</f>
        <v>2</v>
      </c>
      <c r="F10" s="4" t="str">
        <f>VLOOKUP(A10,'Puntajes Final'!A11:F39,6,0)</f>
        <v>#N/A</v>
      </c>
      <c r="G10" s="4">
        <f t="shared" si="1"/>
        <v>97</v>
      </c>
    </row>
    <row r="11">
      <c r="A11" s="3" t="str">
        <f>'Puntajes Fases de Grupos'!A31</f>
        <v>Leonardo Valencia Valencia</v>
      </c>
      <c r="B11" s="4">
        <f>'Puntajes Fases de Grupos'!CT31</f>
        <v>73</v>
      </c>
      <c r="C11" s="4">
        <f>VLOOKUP(A11,'Puntajes Octavos de Final'!$A$3:$R$31,18,0)</f>
        <v>18</v>
      </c>
      <c r="D11" s="5">
        <f>VLOOKUP(A11,'Puntajes Cuartos de Final'!$A$3:$J$31,10,0)</f>
        <v>3</v>
      </c>
      <c r="E11" s="4">
        <f>VLOOKUP(A11,'Puntajes Semifinal'!$A$3:$F$31,6,0)</f>
        <v>3</v>
      </c>
      <c r="F11" s="4" t="str">
        <f>VLOOKUP(A11,'Puntajes Final'!A12:F40,6,0)</f>
        <v>#N/A</v>
      </c>
      <c r="G11" s="4">
        <f t="shared" si="1"/>
        <v>97</v>
      </c>
    </row>
    <row r="12">
      <c r="A12" s="3" t="str">
        <f>'Puntajes Fases de Grupos'!A14</f>
        <v>Guanabano Indigente</v>
      </c>
      <c r="B12" s="4">
        <f>'Puntajes Fases de Grupos'!CT14</f>
        <v>72</v>
      </c>
      <c r="C12" s="4">
        <f>VLOOKUP(A12,'Puntajes Octavos de Final'!$A$3:$R$31,18,0)</f>
        <v>16</v>
      </c>
      <c r="D12" s="5">
        <f>VLOOKUP(A12,'Puntajes Cuartos de Final'!$A$3:$J$31,10,0)</f>
        <v>8</v>
      </c>
      <c r="E12" s="4">
        <f>VLOOKUP(A12,'Puntajes Semifinal'!$A$3:$F$31,6,0)</f>
        <v>5</v>
      </c>
      <c r="F12" s="4" t="str">
        <f>VLOOKUP(A12,'Puntajes Final'!A13:F41,6,0)</f>
        <v>#N/A</v>
      </c>
      <c r="G12" s="4">
        <f t="shared" si="1"/>
        <v>101</v>
      </c>
    </row>
    <row r="13">
      <c r="A13" s="3" t="str">
        <f>'Puntajes Fases de Grupos'!A30</f>
        <v>Club Atletico Vodka Juniors</v>
      </c>
      <c r="B13" s="4">
        <f>'Puntajes Fases de Grupos'!CT30</f>
        <v>73</v>
      </c>
      <c r="C13" s="4">
        <f>VLOOKUP(A13,'Puntajes Octavos de Final'!$A$3:$R$31,18,0)</f>
        <v>14</v>
      </c>
      <c r="D13" s="5">
        <f>VLOOKUP(A13,'Puntajes Cuartos de Final'!$A$3:$J$31,10,0)</f>
        <v>6</v>
      </c>
      <c r="E13" s="4">
        <f>VLOOKUP(A13,'Puntajes Semifinal'!$A$3:$F$31,6,0)</f>
        <v>5</v>
      </c>
      <c r="F13" s="4" t="str">
        <f>VLOOKUP(A13,'Puntajes Final'!A14:F42,6,0)</f>
        <v>#N/A</v>
      </c>
      <c r="G13" s="4">
        <f t="shared" si="1"/>
        <v>98</v>
      </c>
    </row>
    <row r="14">
      <c r="A14" s="3" t="str">
        <f>'Puntajes Fases de Grupos'!A7</f>
        <v>Emerson Alexis Gomez</v>
      </c>
      <c r="B14" s="4">
        <f>'Puntajes Fases de Grupos'!CT7</f>
        <v>69</v>
      </c>
      <c r="C14" s="4">
        <f>VLOOKUP(A14,'Puntajes Octavos de Final'!$A$3:$R$31,18,0)</f>
        <v>17</v>
      </c>
      <c r="D14" s="5">
        <f>VLOOKUP(A14,'Puntajes Cuartos de Final'!$A$3:$J$31,10,0)</f>
        <v>7</v>
      </c>
      <c r="E14" s="4">
        <f>VLOOKUP(A14,'Puntajes Semifinal'!$A$3:$F$31,6,0)</f>
        <v>0</v>
      </c>
      <c r="F14" s="4" t="str">
        <f>VLOOKUP(A14,'Puntajes Final'!A15:F43,6,0)</f>
        <v>#N/A</v>
      </c>
      <c r="G14" s="4">
        <f t="shared" si="1"/>
        <v>93</v>
      </c>
    </row>
    <row r="15">
      <c r="A15" s="3" t="str">
        <f>'Puntajes Fases de Grupos'!A5</f>
        <v>Pascual</v>
      </c>
      <c r="B15" s="4">
        <f>'Puntajes Fases de Grupos'!CT5</f>
        <v>72</v>
      </c>
      <c r="C15" s="4">
        <f>VLOOKUP(A15,'Puntajes Octavos de Final'!$A$3:$R$31,18,0)</f>
        <v>17</v>
      </c>
      <c r="D15" s="5">
        <f>VLOOKUP(A15,'Puntajes Cuartos de Final'!$A$3:$J$31,10,0)</f>
        <v>3</v>
      </c>
      <c r="E15" s="4">
        <f>VLOOKUP(A15,'Puntajes Semifinal'!$A$3:$F$31,6,0)</f>
        <v>5</v>
      </c>
      <c r="F15" s="4" t="str">
        <f>VLOOKUP(A15,'Puntajes Final'!A16:F44,6,0)</f>
        <v>#N/A</v>
      </c>
      <c r="G15" s="4">
        <f t="shared" si="1"/>
        <v>97</v>
      </c>
    </row>
    <row r="16">
      <c r="A16" s="3" t="str">
        <f>'Puntajes Fases de Grupos'!A6</f>
        <v>Juan Esteban Montoya Hincapie</v>
      </c>
      <c r="B16" s="4">
        <f>'Puntajes Fases de Grupos'!CT6</f>
        <v>70</v>
      </c>
      <c r="C16" s="4">
        <f>VLOOKUP(A16,'Puntajes Octavos de Final'!$A$3:$R$31,18,0)</f>
        <v>13</v>
      </c>
      <c r="D16" s="5">
        <f>VLOOKUP(A16,'Puntajes Cuartos de Final'!$A$3:$J$31,10,0)</f>
        <v>9</v>
      </c>
      <c r="E16" s="4">
        <f>VLOOKUP(A16,'Puntajes Semifinal'!$A$3:$F$31,6,0)</f>
        <v>3</v>
      </c>
      <c r="F16" s="4" t="str">
        <f>VLOOKUP(A16,'Puntajes Final'!A17:F45,6,0)</f>
        <v>#N/A</v>
      </c>
      <c r="G16" s="4">
        <f t="shared" si="1"/>
        <v>95</v>
      </c>
    </row>
    <row r="17">
      <c r="A17" s="3" t="str">
        <f>'Puntajes Fases de Grupos'!A9</f>
        <v>Casa VIII</v>
      </c>
      <c r="B17" s="4">
        <f>'Puntajes Fases de Grupos'!CT9</f>
        <v>72</v>
      </c>
      <c r="C17" s="4">
        <f>VLOOKUP(A17,'Puntajes Octavos de Final'!$A$3:$R$31,18,0)</f>
        <v>16</v>
      </c>
      <c r="D17" s="5">
        <f>VLOOKUP(A17,'Puntajes Cuartos de Final'!$A$3:$J$31,10,0)</f>
        <v>2</v>
      </c>
      <c r="E17" s="4">
        <f>VLOOKUP(A17,'Puntajes Semifinal'!$A$3:$F$31,6,0)</f>
        <v>7</v>
      </c>
      <c r="F17" s="4" t="str">
        <f>VLOOKUP(A17,'Puntajes Final'!A18:F46,6,0)</f>
        <v>#N/A</v>
      </c>
      <c r="G17" s="4">
        <f t="shared" si="1"/>
        <v>97</v>
      </c>
    </row>
    <row r="18">
      <c r="A18" s="3" t="str">
        <f>'Puntajes Fases de Grupos'!A21</f>
        <v>Las tejedoras</v>
      </c>
      <c r="B18" s="4">
        <f>'Puntajes Fases de Grupos'!CT21</f>
        <v>72</v>
      </c>
      <c r="C18" s="4">
        <f>VLOOKUP(A18,'Puntajes Octavos de Final'!$A$3:$R$31,18,0)</f>
        <v>14</v>
      </c>
      <c r="D18" s="5">
        <f>VLOOKUP(A18,'Puntajes Cuartos de Final'!$A$3:$J$31,10,0)</f>
        <v>4</v>
      </c>
      <c r="E18" s="4">
        <f>VLOOKUP(A18,'Puntajes Semifinal'!$A$3:$F$31,6,0)</f>
        <v>6</v>
      </c>
      <c r="F18" s="4" t="str">
        <f>VLOOKUP(A18,'Puntajes Final'!A19:F47,6,0)</f>
        <v>#N/A</v>
      </c>
      <c r="G18" s="4">
        <f t="shared" si="1"/>
        <v>96</v>
      </c>
    </row>
    <row r="19">
      <c r="A19" s="3" t="str">
        <f>'Puntajes Fases de Grupos'!A26</f>
        <v>Cristina Valentina Echeverri- Las fieras</v>
      </c>
      <c r="B19" s="4">
        <f>'Puntajes Fases de Grupos'!CT26</f>
        <v>70</v>
      </c>
      <c r="C19" s="4">
        <f>VLOOKUP(A19,'Puntajes Octavos de Final'!$A$3:$R$31,18,0)</f>
        <v>16</v>
      </c>
      <c r="D19" s="5">
        <f>VLOOKUP(A19,'Puntajes Cuartos de Final'!$A$3:$J$31,10,0)</f>
        <v>2</v>
      </c>
      <c r="E19" s="4">
        <f>VLOOKUP(A19,'Puntajes Semifinal'!$A$3:$F$31,6,0)</f>
        <v>3</v>
      </c>
      <c r="F19" s="4" t="str">
        <f>VLOOKUP(A19,'Puntajes Final'!A20:F48,6,0)</f>
        <v>#N/A</v>
      </c>
      <c r="G19" s="4">
        <f t="shared" si="1"/>
        <v>91</v>
      </c>
    </row>
    <row r="20">
      <c r="A20" s="3" t="str">
        <f>'Puntajes Fases de Grupos'!A18</f>
        <v>John Jaramillo-Diogenes Restrepo</v>
      </c>
      <c r="B20" s="4">
        <f>'Puntajes Fases de Grupos'!CT18</f>
        <v>68</v>
      </c>
      <c r="C20" s="4">
        <f>VLOOKUP(A20,'Puntajes Octavos de Final'!$A$3:$R$31,18,0)</f>
        <v>10</v>
      </c>
      <c r="D20" s="5">
        <f>VLOOKUP(A20,'Puntajes Cuartos de Final'!$A$3:$J$31,10,0)</f>
        <v>8</v>
      </c>
      <c r="E20" s="4">
        <f>VLOOKUP(A20,'Puntajes Semifinal'!$A$3:$F$31,6,0)</f>
        <v>3</v>
      </c>
      <c r="F20" s="4" t="str">
        <f>VLOOKUP(A20,'Puntajes Final'!A21:F49,6,0)</f>
        <v>#N/A</v>
      </c>
      <c r="G20" s="4">
        <f t="shared" si="1"/>
        <v>89</v>
      </c>
    </row>
    <row r="21">
      <c r="A21" s="3" t="str">
        <f>'Puntajes Fases de Grupos'!A10</f>
        <v>Luis Fermin Naranjo Artehourtua</v>
      </c>
      <c r="B21" s="4">
        <f>'Puntajes Fases de Grupos'!CT10</f>
        <v>67</v>
      </c>
      <c r="C21" s="4">
        <f>VLOOKUP(A21,'Puntajes Octavos de Final'!$A$3:$R$31,18,0)</f>
        <v>16</v>
      </c>
      <c r="D21" s="5">
        <f>VLOOKUP(A21,'Puntajes Cuartos de Final'!$A$3:$J$31,10,0)</f>
        <v>2</v>
      </c>
      <c r="E21" s="4">
        <f>VLOOKUP(A21,'Puntajes Semifinal'!$A$3:$F$31,6,0)</f>
        <v>6</v>
      </c>
      <c r="F21" s="4" t="str">
        <f>VLOOKUP(A21,'Puntajes Final'!A22:F50,6,0)</f>
        <v>#N/A</v>
      </c>
      <c r="G21" s="4">
        <f t="shared" si="1"/>
        <v>91</v>
      </c>
    </row>
    <row r="22">
      <c r="A22" s="3" t="str">
        <f>'Puntajes Fases de Grupos'!A16</f>
        <v>Marta Restrepo</v>
      </c>
      <c r="B22" s="4">
        <f>'Puntajes Fases de Grupos'!CT16</f>
        <v>75</v>
      </c>
      <c r="C22" s="4">
        <f>VLOOKUP(A22,'Puntajes Octavos de Final'!$A$3:$R$31,18,0)</f>
        <v>7</v>
      </c>
      <c r="D22" s="5">
        <f>VLOOKUP(A22,'Puntajes Cuartos de Final'!$A$3:$J$31,10,0)</f>
        <v>2</v>
      </c>
      <c r="E22" s="4">
        <f>VLOOKUP(A22,'Puntajes Semifinal'!$A$3:$F$31,6,0)</f>
        <v>3</v>
      </c>
      <c r="F22" s="4" t="str">
        <f>VLOOKUP(A22,'Puntajes Final'!A23:F51,6,0)</f>
        <v>#N/A</v>
      </c>
      <c r="G22" s="4">
        <f t="shared" si="1"/>
        <v>87</v>
      </c>
    </row>
    <row r="23">
      <c r="A23" s="3" t="str">
        <f>'Puntajes Fases de Grupos'!A13</f>
        <v>Alejandro Botero</v>
      </c>
      <c r="B23" s="4">
        <f>'Puntajes Fases de Grupos'!CT13</f>
        <v>63</v>
      </c>
      <c r="C23" s="4">
        <f>VLOOKUP(A23,'Puntajes Octavos de Final'!$A$3:$R$31,18,0)</f>
        <v>16</v>
      </c>
      <c r="D23" s="5">
        <f>VLOOKUP(A23,'Puntajes Cuartos de Final'!$A$3:$J$31,10,0)</f>
        <v>4</v>
      </c>
      <c r="E23" s="4">
        <f>VLOOKUP(A23,'Puntajes Semifinal'!$A$3:$F$31,6,0)</f>
        <v>3</v>
      </c>
      <c r="F23" s="4" t="str">
        <f>VLOOKUP(A23,'Puntajes Final'!A24:F52,6,0)</f>
        <v>#N/A</v>
      </c>
      <c r="G23" s="4">
        <f t="shared" si="1"/>
        <v>86</v>
      </c>
    </row>
    <row r="24">
      <c r="A24" s="3" t="str">
        <f>'Puntajes Fases de Grupos'!A8</f>
        <v>Pregunte por lo que no vea</v>
      </c>
      <c r="B24" s="4">
        <f>'Puntajes Fases de Grupos'!CT8</f>
        <v>66</v>
      </c>
      <c r="C24" s="4">
        <f>VLOOKUP(A24,'Puntajes Octavos de Final'!$A$3:$R$31,18,0)</f>
        <v>11</v>
      </c>
      <c r="D24" s="5">
        <f>VLOOKUP(A24,'Puntajes Cuartos de Final'!$A$3:$J$31,10,0)</f>
        <v>6</v>
      </c>
      <c r="E24" s="4">
        <f>VLOOKUP(A24,'Puntajes Semifinal'!$A$3:$F$31,6,0)</f>
        <v>4</v>
      </c>
      <c r="F24" s="4" t="str">
        <f>VLOOKUP(A24,'Puntajes Final'!A25:F53,6,0)</f>
        <v>#N/A</v>
      </c>
      <c r="G24" s="4">
        <f t="shared" si="1"/>
        <v>87</v>
      </c>
    </row>
    <row r="25">
      <c r="A25" s="3" t="str">
        <f>'Puntajes Fases de Grupos'!A17</f>
        <v>Alex Garcia</v>
      </c>
      <c r="B25" s="4">
        <f>'Puntajes Fases de Grupos'!CT17</f>
        <v>64</v>
      </c>
      <c r="C25" s="4">
        <f>VLOOKUP(A25,'Puntajes Octavos de Final'!$A$3:$R$31,18,0)</f>
        <v>16</v>
      </c>
      <c r="D25" s="5">
        <f>VLOOKUP(A25,'Puntajes Cuartos de Final'!$A$3:$J$31,10,0)</f>
        <v>2</v>
      </c>
      <c r="E25" s="4">
        <f>VLOOKUP(A25,'Puntajes Semifinal'!$A$3:$F$31,6,0)</f>
        <v>2</v>
      </c>
      <c r="F25" s="4" t="str">
        <f>VLOOKUP(A25,'Puntajes Final'!A26:F54,6,0)</f>
        <v>#N/A</v>
      </c>
      <c r="G25" s="4">
        <f t="shared" si="1"/>
        <v>84</v>
      </c>
    </row>
    <row r="26">
      <c r="A26" s="3" t="str">
        <f>'Puntajes Fases de Grupos'!A15</f>
        <v>Safiro y Acero</v>
      </c>
      <c r="B26" s="4">
        <f>'Puntajes Fases de Grupos'!CT15</f>
        <v>63</v>
      </c>
      <c r="C26" s="4">
        <f>VLOOKUP(A26,'Puntajes Octavos de Final'!$A$3:$R$31,18,0)</f>
        <v>15</v>
      </c>
      <c r="D26" s="5">
        <f>VLOOKUP(A26,'Puntajes Cuartos de Final'!$A$3:$J$31,10,0)</f>
        <v>4</v>
      </c>
      <c r="E26" s="4">
        <f>VLOOKUP(A26,'Puntajes Semifinal'!$A$3:$F$31,6,0)</f>
        <v>5</v>
      </c>
      <c r="F26" s="4" t="str">
        <f>VLOOKUP(A26,'Puntajes Final'!A27:F55,6,0)</f>
        <v>#N/A</v>
      </c>
      <c r="G26" s="4">
        <f t="shared" si="1"/>
        <v>87</v>
      </c>
    </row>
    <row r="27">
      <c r="A27" s="3" t="str">
        <f>'Puntajes Fases de Grupos'!A19</f>
        <v>Los Betancruz</v>
      </c>
      <c r="B27" s="4">
        <f>'Puntajes Fases de Grupos'!CT19</f>
        <v>62</v>
      </c>
      <c r="C27" s="4">
        <f>VLOOKUP(A27,'Puntajes Octavos de Final'!$A$3:$R$31,18,0)</f>
        <v>12</v>
      </c>
      <c r="D27" s="5">
        <f>VLOOKUP(A27,'Puntajes Cuartos de Final'!$A$3:$J$31,10,0)</f>
        <v>6</v>
      </c>
      <c r="E27" s="4">
        <f>VLOOKUP(A27,'Puntajes Semifinal'!$A$3:$F$31,6,0)</f>
        <v>3</v>
      </c>
      <c r="F27" s="4" t="str">
        <f>VLOOKUP(A27,'Puntajes Final'!A28:F56,6,0)</f>
        <v>#N/A</v>
      </c>
      <c r="G27" s="4">
        <f t="shared" si="1"/>
        <v>83</v>
      </c>
    </row>
    <row r="28">
      <c r="A28" s="3" t="str">
        <f>'Puntajes Fases de Grupos'!A4</f>
        <v>La qatarsis mundial</v>
      </c>
      <c r="B28" s="4">
        <f>'Puntajes Fases de Grupos'!CT4</f>
        <v>55</v>
      </c>
      <c r="C28" s="4">
        <f>VLOOKUP(A28,'Puntajes Octavos de Final'!$A$3:$R$31,18,0)</f>
        <v>14</v>
      </c>
      <c r="D28" s="5">
        <f>VLOOKUP(A28,'Puntajes Cuartos de Final'!$A$3:$J$31,10,0)</f>
        <v>11</v>
      </c>
      <c r="E28" s="4">
        <f>VLOOKUP(A28,'Puntajes Semifinal'!$A$3:$F$31,6,0)</f>
        <v>2</v>
      </c>
      <c r="F28" s="4" t="str">
        <f>VLOOKUP(A28,'Puntajes Final'!A29:F57,6,0)</f>
        <v>#N/A</v>
      </c>
      <c r="G28" s="4">
        <f t="shared" si="1"/>
        <v>82</v>
      </c>
    </row>
    <row r="29">
      <c r="A29" s="3" t="str">
        <f>'Puntajes Fases de Grupos'!A22</f>
        <v>Qatarsis 1.0</v>
      </c>
      <c r="B29" s="4">
        <f>'Puntajes Fases de Grupos'!CT22</f>
        <v>59</v>
      </c>
      <c r="C29" s="4">
        <f>VLOOKUP(A29,'Puntajes Octavos de Final'!$A$3:$R$31,18,0)</f>
        <v>18</v>
      </c>
      <c r="D29" s="5">
        <f>VLOOKUP(A29,'Puntajes Cuartos de Final'!$A$3:$J$31,10,0)</f>
        <v>4</v>
      </c>
      <c r="E29" s="4">
        <f>VLOOKUP(A29,'Puntajes Semifinal'!$A$3:$F$31,6,0)</f>
        <v>1</v>
      </c>
      <c r="F29" s="4" t="str">
        <f>VLOOKUP(A29,'Puntajes Final'!A30:F58,6,0)</f>
        <v>#N/A</v>
      </c>
      <c r="G29" s="4">
        <f t="shared" si="1"/>
        <v>82</v>
      </c>
    </row>
    <row r="30">
      <c r="A30" s="3" t="str">
        <f>'Puntajes Fases de Grupos'!A12</f>
        <v>Lore Mira</v>
      </c>
      <c r="B30" s="4">
        <f>'Puntajes Fases de Grupos'!CT12</f>
        <v>48</v>
      </c>
      <c r="C30" s="4">
        <f>VLOOKUP(A30,'Puntajes Octavos de Final'!$A$3:$R$31,18,0)</f>
        <v>14</v>
      </c>
      <c r="D30" s="5">
        <f>VLOOKUP(A30,'Puntajes Cuartos de Final'!$A$3:$J$31,10,0)</f>
        <v>5</v>
      </c>
      <c r="E30" s="4">
        <f>VLOOKUP(A30,'Puntajes Semifinal'!$A$3:$F$31,6,0)</f>
        <v>0</v>
      </c>
      <c r="F30" s="4" t="str">
        <f>VLOOKUP(A30,'Puntajes Final'!A31:F59,6,0)</f>
        <v>#N/A</v>
      </c>
      <c r="G30" s="4">
        <f t="shared" si="1"/>
        <v>67</v>
      </c>
    </row>
    <row r="31">
      <c r="D31" s="4"/>
      <c r="E31" s="4"/>
      <c r="F31" s="4"/>
      <c r="G31" s="4"/>
    </row>
    <row r="32">
      <c r="D32" s="4"/>
      <c r="E32" s="4"/>
      <c r="F32" s="4"/>
      <c r="G32" s="4"/>
    </row>
    <row r="33">
      <c r="D33" s="4"/>
      <c r="E33" s="4"/>
      <c r="F33" s="4"/>
      <c r="G33" s="4"/>
    </row>
    <row r="34">
      <c r="D34" s="4"/>
      <c r="E34" s="4"/>
      <c r="F34" s="4"/>
      <c r="G34" s="4"/>
    </row>
    <row r="35">
      <c r="D35" s="4"/>
      <c r="E35" s="4"/>
      <c r="F35" s="4"/>
      <c r="G35" s="4"/>
    </row>
    <row r="36">
      <c r="D36" s="4"/>
      <c r="E36" s="4"/>
      <c r="F36" s="4"/>
      <c r="G36" s="4"/>
    </row>
    <row r="37">
      <c r="D37" s="4"/>
      <c r="E37" s="4"/>
      <c r="F37" s="4"/>
      <c r="G37" s="4"/>
    </row>
    <row r="38">
      <c r="D38" s="4"/>
      <c r="E38" s="4"/>
      <c r="F38" s="4"/>
      <c r="G38" s="4"/>
    </row>
    <row r="39">
      <c r="D39" s="4"/>
      <c r="E39" s="4"/>
      <c r="F39" s="4"/>
      <c r="G39" s="4"/>
    </row>
    <row r="40">
      <c r="D40" s="4"/>
      <c r="E40" s="4"/>
      <c r="F40" s="4"/>
      <c r="G40" s="4"/>
    </row>
    <row r="41">
      <c r="D41" s="4"/>
      <c r="E41" s="4"/>
      <c r="F41" s="4"/>
      <c r="G41" s="4"/>
    </row>
    <row r="42">
      <c r="D42" s="4"/>
      <c r="E42" s="4"/>
      <c r="F42" s="4"/>
      <c r="G42" s="4"/>
    </row>
    <row r="43">
      <c r="D43" s="4"/>
      <c r="E43" s="4"/>
      <c r="F43" s="4"/>
      <c r="G43" s="4"/>
    </row>
    <row r="44">
      <c r="D44" s="4"/>
      <c r="E44" s="4"/>
      <c r="F44" s="4"/>
      <c r="G44" s="4"/>
    </row>
    <row r="45">
      <c r="D45" s="4"/>
      <c r="E45" s="4"/>
      <c r="F45" s="4"/>
      <c r="G45" s="4"/>
    </row>
    <row r="46">
      <c r="D46" s="4"/>
      <c r="E46" s="4"/>
      <c r="F46" s="4"/>
      <c r="G46" s="4"/>
    </row>
    <row r="47">
      <c r="D47" s="4"/>
      <c r="E47" s="4"/>
      <c r="F47" s="4"/>
      <c r="G47" s="4"/>
    </row>
    <row r="48">
      <c r="D48" s="4"/>
      <c r="E48" s="4"/>
      <c r="F48" s="4"/>
      <c r="G48" s="4"/>
    </row>
    <row r="49">
      <c r="D49" s="4"/>
      <c r="E49" s="4"/>
      <c r="F49" s="4"/>
      <c r="G49" s="4"/>
    </row>
    <row r="50">
      <c r="D50" s="4"/>
      <c r="E50" s="4"/>
      <c r="F50" s="4"/>
      <c r="G50" s="4"/>
    </row>
    <row r="51">
      <c r="D51" s="4"/>
      <c r="E51" s="4"/>
      <c r="F51" s="4"/>
      <c r="G51" s="4"/>
    </row>
    <row r="52">
      <c r="D52" s="4"/>
      <c r="E52" s="4"/>
      <c r="F52" s="4"/>
      <c r="G52" s="4"/>
    </row>
    <row r="53">
      <c r="D53" s="4"/>
      <c r="E53" s="4"/>
      <c r="F53" s="4"/>
      <c r="G53" s="4"/>
    </row>
    <row r="54">
      <c r="D54" s="4"/>
      <c r="E54" s="4"/>
      <c r="F54" s="4"/>
      <c r="G54" s="4"/>
    </row>
    <row r="55">
      <c r="D55" s="4"/>
      <c r="E55" s="4"/>
      <c r="F55" s="4"/>
      <c r="G55" s="4"/>
    </row>
    <row r="56">
      <c r="D56" s="4"/>
      <c r="E56" s="4"/>
      <c r="F56" s="4"/>
      <c r="G56" s="4"/>
    </row>
    <row r="57">
      <c r="D57" s="4"/>
      <c r="E57" s="4"/>
      <c r="F57" s="4"/>
      <c r="G57" s="4"/>
    </row>
    <row r="58">
      <c r="D58" s="4"/>
      <c r="E58" s="4"/>
      <c r="F58" s="4"/>
      <c r="G58" s="4"/>
    </row>
    <row r="59">
      <c r="D59" s="4"/>
      <c r="E59" s="4"/>
      <c r="F59" s="4"/>
      <c r="G59" s="4"/>
    </row>
    <row r="60">
      <c r="D60" s="4"/>
      <c r="E60" s="4"/>
      <c r="F60" s="4"/>
      <c r="G60" s="4"/>
    </row>
    <row r="61">
      <c r="D61" s="4"/>
      <c r="E61" s="4"/>
      <c r="F61" s="4"/>
      <c r="G61" s="4"/>
    </row>
    <row r="62">
      <c r="D62" s="4"/>
      <c r="E62" s="4"/>
      <c r="F62" s="4"/>
      <c r="G62" s="4"/>
    </row>
    <row r="63">
      <c r="D63" s="4"/>
      <c r="E63" s="4"/>
      <c r="F63" s="4"/>
      <c r="G63" s="4"/>
    </row>
    <row r="64">
      <c r="D64" s="4"/>
      <c r="E64" s="4"/>
      <c r="F64" s="4"/>
      <c r="G64" s="4"/>
    </row>
    <row r="65">
      <c r="D65" s="4"/>
      <c r="E65" s="4"/>
      <c r="F65" s="4"/>
      <c r="G65" s="4"/>
    </row>
    <row r="66">
      <c r="D66" s="4"/>
      <c r="E66" s="4"/>
      <c r="F66" s="4"/>
      <c r="G66" s="4"/>
    </row>
    <row r="67">
      <c r="D67" s="4"/>
      <c r="E67" s="4"/>
      <c r="F67" s="4"/>
      <c r="G67" s="4"/>
    </row>
    <row r="68">
      <c r="D68" s="4"/>
      <c r="E68" s="4"/>
      <c r="F68" s="4"/>
      <c r="G68" s="4"/>
    </row>
    <row r="69">
      <c r="D69" s="4"/>
      <c r="E69" s="4"/>
      <c r="F69" s="4"/>
      <c r="G69" s="4"/>
    </row>
    <row r="70">
      <c r="D70" s="4"/>
      <c r="E70" s="4"/>
      <c r="F70" s="4"/>
      <c r="G70" s="4"/>
    </row>
    <row r="71">
      <c r="D71" s="4"/>
      <c r="E71" s="4"/>
      <c r="F71" s="4"/>
      <c r="G71" s="4"/>
    </row>
    <row r="72">
      <c r="D72" s="4"/>
      <c r="E72" s="4"/>
      <c r="F72" s="4"/>
      <c r="G72" s="4"/>
    </row>
    <row r="73">
      <c r="D73" s="4"/>
      <c r="E73" s="4"/>
      <c r="F73" s="4"/>
      <c r="G73" s="4"/>
    </row>
    <row r="74">
      <c r="D74" s="4"/>
      <c r="E74" s="4"/>
      <c r="F74" s="4"/>
      <c r="G74" s="4"/>
    </row>
    <row r="75">
      <c r="D75" s="4"/>
      <c r="E75" s="4"/>
      <c r="F75" s="4"/>
      <c r="G75" s="4"/>
    </row>
    <row r="76">
      <c r="D76" s="4"/>
      <c r="E76" s="4"/>
      <c r="F76" s="4"/>
      <c r="G76" s="4"/>
    </row>
    <row r="77">
      <c r="D77" s="4"/>
      <c r="E77" s="4"/>
      <c r="F77" s="4"/>
      <c r="G77" s="4"/>
    </row>
    <row r="78">
      <c r="D78" s="4"/>
      <c r="E78" s="4"/>
      <c r="F78" s="4"/>
      <c r="G78" s="4"/>
    </row>
    <row r="79">
      <c r="D79" s="4"/>
      <c r="E79" s="4"/>
      <c r="F79" s="4"/>
      <c r="G79" s="4"/>
    </row>
    <row r="80">
      <c r="D80" s="4"/>
      <c r="E80" s="4"/>
      <c r="F80" s="4"/>
      <c r="G80" s="4"/>
    </row>
    <row r="81">
      <c r="D81" s="4"/>
      <c r="E81" s="4"/>
      <c r="F81" s="4"/>
      <c r="G81" s="4"/>
    </row>
    <row r="82">
      <c r="D82" s="4"/>
      <c r="E82" s="4"/>
      <c r="F82" s="4"/>
      <c r="G82" s="4"/>
    </row>
    <row r="83">
      <c r="D83" s="4"/>
      <c r="E83" s="4"/>
      <c r="F83" s="4"/>
      <c r="G83" s="4"/>
    </row>
    <row r="84">
      <c r="D84" s="4"/>
      <c r="E84" s="4"/>
      <c r="F84" s="4"/>
      <c r="G84" s="4"/>
    </row>
    <row r="85">
      <c r="D85" s="4"/>
      <c r="E85" s="4"/>
      <c r="F85" s="4"/>
      <c r="G85" s="4"/>
    </row>
    <row r="86">
      <c r="D86" s="4"/>
      <c r="E86" s="4"/>
      <c r="F86" s="4"/>
      <c r="G86" s="4"/>
    </row>
    <row r="87">
      <c r="D87" s="4"/>
      <c r="E87" s="4"/>
      <c r="F87" s="4"/>
      <c r="G87" s="4"/>
    </row>
    <row r="88">
      <c r="D88" s="4"/>
      <c r="E88" s="4"/>
      <c r="F88" s="4"/>
      <c r="G88" s="4"/>
    </row>
    <row r="89">
      <c r="D89" s="4"/>
      <c r="E89" s="4"/>
      <c r="F89" s="4"/>
      <c r="G89" s="4"/>
    </row>
    <row r="90">
      <c r="D90" s="4"/>
      <c r="E90" s="4"/>
      <c r="F90" s="4"/>
      <c r="G90" s="4"/>
    </row>
    <row r="91">
      <c r="D91" s="4"/>
      <c r="E91" s="4"/>
      <c r="F91" s="4"/>
      <c r="G91" s="4"/>
    </row>
    <row r="92">
      <c r="D92" s="4"/>
      <c r="E92" s="4"/>
      <c r="F92" s="4"/>
      <c r="G92" s="4"/>
    </row>
    <row r="93">
      <c r="D93" s="4"/>
      <c r="E93" s="4"/>
      <c r="F93" s="4"/>
      <c r="G93" s="4"/>
    </row>
    <row r="94">
      <c r="D94" s="4"/>
      <c r="E94" s="4"/>
      <c r="F94" s="4"/>
      <c r="G94" s="4"/>
    </row>
    <row r="95">
      <c r="D95" s="4"/>
      <c r="E95" s="4"/>
      <c r="F95" s="4"/>
      <c r="G95" s="4"/>
    </row>
    <row r="96">
      <c r="D96" s="4"/>
      <c r="E96" s="4"/>
      <c r="F96" s="4"/>
      <c r="G96" s="4"/>
    </row>
    <row r="97">
      <c r="D97" s="4"/>
      <c r="E97" s="4"/>
      <c r="F97" s="4"/>
      <c r="G97" s="4"/>
    </row>
    <row r="98">
      <c r="D98" s="4"/>
      <c r="E98" s="4"/>
      <c r="F98" s="4"/>
      <c r="G98" s="4"/>
    </row>
    <row r="99">
      <c r="D99" s="4"/>
      <c r="E99" s="4"/>
      <c r="F99" s="4"/>
      <c r="G99" s="4"/>
    </row>
    <row r="100">
      <c r="D100" s="4"/>
      <c r="E100" s="4"/>
      <c r="F100" s="4"/>
      <c r="G100" s="4"/>
    </row>
    <row r="101">
      <c r="D101" s="4"/>
      <c r="E101" s="4"/>
      <c r="F101" s="4"/>
      <c r="G101" s="4"/>
    </row>
    <row r="102">
      <c r="D102" s="4"/>
      <c r="E102" s="4"/>
      <c r="F102" s="4"/>
      <c r="G102" s="4"/>
    </row>
    <row r="103">
      <c r="D103" s="4"/>
      <c r="E103" s="4"/>
      <c r="F103" s="4"/>
      <c r="G103" s="4"/>
    </row>
    <row r="104">
      <c r="D104" s="4"/>
      <c r="E104" s="4"/>
      <c r="F104" s="4"/>
      <c r="G104" s="4"/>
    </row>
    <row r="105">
      <c r="D105" s="4"/>
      <c r="E105" s="4"/>
      <c r="F105" s="4"/>
      <c r="G105" s="4"/>
    </row>
    <row r="106">
      <c r="D106" s="4"/>
      <c r="E106" s="4"/>
      <c r="F106" s="4"/>
      <c r="G106" s="4"/>
    </row>
    <row r="107">
      <c r="D107" s="4"/>
      <c r="E107" s="4"/>
      <c r="F107" s="4"/>
      <c r="G107" s="4"/>
    </row>
    <row r="108">
      <c r="D108" s="4"/>
      <c r="E108" s="4"/>
      <c r="F108" s="4"/>
      <c r="G108" s="4"/>
    </row>
    <row r="109">
      <c r="D109" s="4"/>
      <c r="E109" s="4"/>
      <c r="F109" s="4"/>
      <c r="G109" s="4"/>
    </row>
    <row r="110">
      <c r="D110" s="4"/>
      <c r="E110" s="4"/>
      <c r="F110" s="4"/>
      <c r="G110" s="4"/>
    </row>
    <row r="111">
      <c r="D111" s="4"/>
      <c r="E111" s="4"/>
      <c r="F111" s="4"/>
      <c r="G111" s="4"/>
    </row>
    <row r="112">
      <c r="D112" s="4"/>
      <c r="E112" s="4"/>
      <c r="F112" s="4"/>
      <c r="G112" s="4"/>
    </row>
    <row r="113">
      <c r="D113" s="4"/>
      <c r="E113" s="4"/>
      <c r="F113" s="4"/>
      <c r="G113" s="4"/>
    </row>
    <row r="114">
      <c r="D114" s="4"/>
      <c r="E114" s="4"/>
      <c r="F114" s="4"/>
      <c r="G114" s="4"/>
    </row>
    <row r="115">
      <c r="D115" s="4"/>
      <c r="E115" s="4"/>
      <c r="F115" s="4"/>
      <c r="G115" s="4"/>
    </row>
    <row r="116">
      <c r="D116" s="4"/>
      <c r="E116" s="4"/>
      <c r="F116" s="4"/>
      <c r="G116" s="4"/>
    </row>
    <row r="117">
      <c r="D117" s="4"/>
      <c r="E117" s="4"/>
      <c r="F117" s="4"/>
      <c r="G117" s="4"/>
    </row>
    <row r="118">
      <c r="D118" s="4"/>
      <c r="E118" s="4"/>
      <c r="F118" s="4"/>
      <c r="G118" s="4"/>
    </row>
    <row r="119">
      <c r="D119" s="4"/>
      <c r="E119" s="4"/>
      <c r="F119" s="4"/>
      <c r="G119" s="4"/>
    </row>
    <row r="120">
      <c r="D120" s="4"/>
      <c r="E120" s="4"/>
      <c r="F120" s="4"/>
      <c r="G120" s="4"/>
    </row>
    <row r="121">
      <c r="D121" s="4"/>
      <c r="E121" s="4"/>
      <c r="F121" s="4"/>
      <c r="G121" s="4"/>
    </row>
    <row r="122">
      <c r="D122" s="4"/>
      <c r="E122" s="4"/>
      <c r="F122" s="4"/>
      <c r="G122" s="4"/>
    </row>
    <row r="123">
      <c r="D123" s="4"/>
      <c r="E123" s="4"/>
      <c r="F123" s="4"/>
      <c r="G123" s="4"/>
    </row>
    <row r="124">
      <c r="D124" s="4"/>
      <c r="E124" s="4"/>
      <c r="F124" s="4"/>
      <c r="G124" s="4"/>
    </row>
    <row r="125">
      <c r="D125" s="4"/>
      <c r="E125" s="4"/>
      <c r="F125" s="4"/>
      <c r="G125" s="4"/>
    </row>
    <row r="126">
      <c r="D126" s="4"/>
      <c r="E126" s="4"/>
      <c r="F126" s="4"/>
      <c r="G126" s="4"/>
    </row>
    <row r="127">
      <c r="D127" s="4"/>
      <c r="E127" s="4"/>
      <c r="F127" s="4"/>
      <c r="G127" s="4"/>
    </row>
    <row r="128">
      <c r="D128" s="4"/>
      <c r="E128" s="4"/>
      <c r="F128" s="4"/>
      <c r="G128" s="4"/>
    </row>
    <row r="129">
      <c r="D129" s="4"/>
      <c r="E129" s="4"/>
      <c r="F129" s="4"/>
      <c r="G129" s="4"/>
    </row>
    <row r="130">
      <c r="D130" s="4"/>
      <c r="E130" s="4"/>
      <c r="F130" s="4"/>
      <c r="G130" s="4"/>
    </row>
    <row r="131">
      <c r="D131" s="4"/>
      <c r="E131" s="4"/>
      <c r="F131" s="4"/>
      <c r="G131" s="4"/>
    </row>
    <row r="132">
      <c r="D132" s="4"/>
      <c r="E132" s="4"/>
      <c r="F132" s="4"/>
      <c r="G132" s="4"/>
    </row>
    <row r="133">
      <c r="D133" s="4"/>
      <c r="E133" s="4"/>
      <c r="F133" s="4"/>
      <c r="G133" s="4"/>
    </row>
    <row r="134">
      <c r="D134" s="4"/>
      <c r="E134" s="4"/>
      <c r="F134" s="4"/>
      <c r="G134" s="4"/>
    </row>
    <row r="135">
      <c r="D135" s="4"/>
      <c r="E135" s="4"/>
      <c r="F135" s="4"/>
      <c r="G135" s="4"/>
    </row>
    <row r="136">
      <c r="D136" s="4"/>
      <c r="E136" s="4"/>
      <c r="F136" s="4"/>
      <c r="G136" s="4"/>
    </row>
    <row r="137">
      <c r="D137" s="4"/>
      <c r="E137" s="4"/>
      <c r="F137" s="4"/>
      <c r="G137" s="4"/>
    </row>
    <row r="138">
      <c r="D138" s="4"/>
      <c r="E138" s="4"/>
      <c r="F138" s="4"/>
      <c r="G138" s="4"/>
    </row>
    <row r="139">
      <c r="D139" s="4"/>
      <c r="E139" s="4"/>
      <c r="F139" s="4"/>
      <c r="G139" s="4"/>
    </row>
    <row r="140">
      <c r="D140" s="4"/>
      <c r="E140" s="4"/>
      <c r="F140" s="4"/>
      <c r="G140" s="4"/>
    </row>
    <row r="141">
      <c r="D141" s="4"/>
      <c r="E141" s="4"/>
      <c r="F141" s="4"/>
      <c r="G141" s="4"/>
    </row>
    <row r="142">
      <c r="D142" s="4"/>
      <c r="E142" s="4"/>
      <c r="F142" s="4"/>
      <c r="G142" s="4"/>
    </row>
    <row r="143">
      <c r="D143" s="4"/>
      <c r="E143" s="4"/>
      <c r="F143" s="4"/>
      <c r="G143" s="4"/>
    </row>
    <row r="144">
      <c r="D144" s="4"/>
      <c r="E144" s="4"/>
      <c r="F144" s="4"/>
      <c r="G144" s="4"/>
    </row>
    <row r="145">
      <c r="D145" s="4"/>
      <c r="E145" s="4"/>
      <c r="F145" s="4"/>
      <c r="G145" s="4"/>
    </row>
    <row r="146">
      <c r="D146" s="4"/>
      <c r="E146" s="4"/>
      <c r="F146" s="4"/>
      <c r="G146" s="4"/>
    </row>
    <row r="147">
      <c r="D147" s="4"/>
      <c r="E147" s="4"/>
      <c r="F147" s="4"/>
      <c r="G147" s="4"/>
    </row>
    <row r="148">
      <c r="D148" s="4"/>
      <c r="E148" s="4"/>
      <c r="F148" s="4"/>
      <c r="G148" s="4"/>
    </row>
    <row r="149">
      <c r="D149" s="4"/>
      <c r="E149" s="4"/>
      <c r="F149" s="4"/>
      <c r="G149" s="4"/>
    </row>
    <row r="150">
      <c r="D150" s="4"/>
      <c r="E150" s="4"/>
      <c r="F150" s="4"/>
      <c r="G150" s="4"/>
    </row>
    <row r="151">
      <c r="D151" s="4"/>
      <c r="E151" s="4"/>
      <c r="F151" s="4"/>
      <c r="G151" s="4"/>
    </row>
    <row r="152">
      <c r="D152" s="4"/>
      <c r="E152" s="4"/>
      <c r="F152" s="4"/>
      <c r="G152" s="4"/>
    </row>
    <row r="153">
      <c r="D153" s="4"/>
      <c r="E153" s="4"/>
      <c r="F153" s="4"/>
      <c r="G153" s="4"/>
    </row>
    <row r="154">
      <c r="D154" s="4"/>
      <c r="E154" s="4"/>
      <c r="F154" s="4"/>
      <c r="G154" s="4"/>
    </row>
    <row r="155">
      <c r="D155" s="4"/>
      <c r="E155" s="4"/>
      <c r="F155" s="4"/>
      <c r="G155" s="4"/>
    </row>
    <row r="156">
      <c r="D156" s="4"/>
      <c r="E156" s="4"/>
      <c r="F156" s="4"/>
      <c r="G156" s="4"/>
    </row>
    <row r="157">
      <c r="D157" s="4"/>
      <c r="E157" s="4"/>
      <c r="F157" s="4"/>
      <c r="G157" s="4"/>
    </row>
    <row r="158">
      <c r="D158" s="4"/>
      <c r="E158" s="4"/>
      <c r="F158" s="4"/>
      <c r="G158" s="4"/>
    </row>
    <row r="159">
      <c r="D159" s="4"/>
      <c r="E159" s="4"/>
      <c r="F159" s="4"/>
      <c r="G159" s="4"/>
    </row>
    <row r="160">
      <c r="D160" s="4"/>
      <c r="E160" s="4"/>
      <c r="F160" s="4"/>
      <c r="G160" s="4"/>
    </row>
    <row r="161">
      <c r="D161" s="4"/>
      <c r="E161" s="4"/>
      <c r="F161" s="4"/>
      <c r="G161" s="4"/>
    </row>
    <row r="162">
      <c r="D162" s="4"/>
      <c r="E162" s="4"/>
      <c r="F162" s="4"/>
      <c r="G162" s="4"/>
    </row>
    <row r="163">
      <c r="D163" s="4"/>
      <c r="E163" s="4"/>
      <c r="F163" s="4"/>
      <c r="G163" s="4"/>
    </row>
    <row r="164">
      <c r="D164" s="4"/>
      <c r="E164" s="4"/>
      <c r="F164" s="4"/>
      <c r="G164" s="4"/>
    </row>
    <row r="165">
      <c r="D165" s="4"/>
      <c r="E165" s="4"/>
      <c r="F165" s="4"/>
      <c r="G165" s="4"/>
    </row>
    <row r="166">
      <c r="D166" s="4"/>
      <c r="E166" s="4"/>
      <c r="F166" s="4"/>
      <c r="G166" s="4"/>
    </row>
    <row r="167">
      <c r="D167" s="4"/>
      <c r="E167" s="4"/>
      <c r="F167" s="4"/>
      <c r="G167" s="4"/>
    </row>
    <row r="168">
      <c r="D168" s="4"/>
      <c r="E168" s="4"/>
      <c r="F168" s="4"/>
      <c r="G168" s="4"/>
    </row>
    <row r="169">
      <c r="D169" s="4"/>
      <c r="E169" s="4"/>
      <c r="F169" s="4"/>
      <c r="G169" s="4"/>
    </row>
    <row r="170">
      <c r="D170" s="4"/>
      <c r="E170" s="4"/>
      <c r="F170" s="4"/>
      <c r="G170" s="4"/>
    </row>
    <row r="171">
      <c r="D171" s="4"/>
      <c r="E171" s="4"/>
      <c r="F171" s="4"/>
      <c r="G171" s="4"/>
    </row>
    <row r="172">
      <c r="D172" s="4"/>
      <c r="E172" s="4"/>
      <c r="F172" s="4"/>
      <c r="G172" s="4"/>
    </row>
    <row r="173">
      <c r="D173" s="4"/>
      <c r="E173" s="4"/>
      <c r="F173" s="4"/>
      <c r="G173" s="4"/>
    </row>
    <row r="174">
      <c r="D174" s="4"/>
      <c r="E174" s="4"/>
      <c r="F174" s="4"/>
      <c r="G174" s="4"/>
    </row>
    <row r="175">
      <c r="D175" s="4"/>
      <c r="E175" s="4"/>
      <c r="F175" s="4"/>
      <c r="G175" s="4"/>
    </row>
    <row r="176">
      <c r="D176" s="4"/>
      <c r="E176" s="4"/>
      <c r="F176" s="4"/>
      <c r="G176" s="4"/>
    </row>
    <row r="177">
      <c r="D177" s="4"/>
      <c r="E177" s="4"/>
      <c r="F177" s="4"/>
      <c r="G177" s="4"/>
    </row>
    <row r="178">
      <c r="D178" s="4"/>
      <c r="E178" s="4"/>
      <c r="F178" s="4"/>
      <c r="G178" s="4"/>
    </row>
    <row r="179">
      <c r="D179" s="4"/>
      <c r="E179" s="4"/>
      <c r="F179" s="4"/>
      <c r="G179" s="4"/>
    </row>
    <row r="180">
      <c r="D180" s="4"/>
      <c r="E180" s="4"/>
      <c r="F180" s="4"/>
      <c r="G180" s="4"/>
    </row>
    <row r="181">
      <c r="D181" s="4"/>
      <c r="E181" s="4"/>
      <c r="F181" s="4"/>
      <c r="G181" s="4"/>
    </row>
    <row r="182">
      <c r="D182" s="4"/>
      <c r="E182" s="4"/>
      <c r="F182" s="4"/>
      <c r="G182" s="4"/>
    </row>
    <row r="183">
      <c r="D183" s="4"/>
      <c r="E183" s="4"/>
      <c r="F183" s="4"/>
      <c r="G183" s="4"/>
    </row>
    <row r="184">
      <c r="D184" s="4"/>
      <c r="E184" s="4"/>
      <c r="F184" s="4"/>
      <c r="G184" s="4"/>
    </row>
    <row r="185">
      <c r="D185" s="4"/>
      <c r="E185" s="4"/>
      <c r="F185" s="4"/>
      <c r="G185" s="4"/>
    </row>
    <row r="186">
      <c r="D186" s="4"/>
      <c r="E186" s="4"/>
      <c r="F186" s="4"/>
      <c r="G186" s="4"/>
    </row>
    <row r="187">
      <c r="D187" s="4"/>
      <c r="E187" s="4"/>
      <c r="F187" s="4"/>
      <c r="G187" s="4"/>
    </row>
    <row r="188">
      <c r="D188" s="4"/>
      <c r="E188" s="4"/>
      <c r="F188" s="4"/>
      <c r="G188" s="4"/>
    </row>
    <row r="189">
      <c r="D189" s="4"/>
      <c r="E189" s="4"/>
      <c r="F189" s="4"/>
      <c r="G189" s="4"/>
    </row>
    <row r="190">
      <c r="D190" s="4"/>
      <c r="E190" s="4"/>
      <c r="F190" s="4"/>
      <c r="G190" s="4"/>
    </row>
    <row r="191">
      <c r="D191" s="4"/>
      <c r="E191" s="4"/>
      <c r="F191" s="4"/>
      <c r="G191" s="4"/>
    </row>
    <row r="192">
      <c r="D192" s="4"/>
      <c r="E192" s="4"/>
      <c r="F192" s="4"/>
      <c r="G192" s="4"/>
    </row>
    <row r="193">
      <c r="D193" s="4"/>
      <c r="E193" s="4"/>
      <c r="F193" s="4"/>
      <c r="G193" s="4"/>
    </row>
    <row r="194">
      <c r="D194" s="4"/>
      <c r="E194" s="4"/>
      <c r="F194" s="4"/>
      <c r="G194" s="4"/>
    </row>
    <row r="195">
      <c r="D195" s="4"/>
      <c r="E195" s="4"/>
      <c r="F195" s="4"/>
      <c r="G195" s="4"/>
    </row>
    <row r="196">
      <c r="D196" s="4"/>
      <c r="E196" s="4"/>
      <c r="F196" s="4"/>
      <c r="G196" s="4"/>
    </row>
    <row r="197">
      <c r="D197" s="4"/>
      <c r="E197" s="4"/>
      <c r="F197" s="4"/>
      <c r="G197" s="4"/>
    </row>
    <row r="198">
      <c r="D198" s="4"/>
      <c r="E198" s="4"/>
      <c r="F198" s="4"/>
      <c r="G198" s="4"/>
    </row>
    <row r="199">
      <c r="D199" s="4"/>
      <c r="E199" s="4"/>
      <c r="F199" s="4"/>
      <c r="G199" s="4"/>
    </row>
    <row r="200">
      <c r="D200" s="4"/>
      <c r="E200" s="4"/>
      <c r="F200" s="4"/>
      <c r="G200" s="4"/>
    </row>
    <row r="201">
      <c r="D201" s="4"/>
      <c r="E201" s="4"/>
      <c r="F201" s="4"/>
      <c r="G201" s="4"/>
    </row>
    <row r="202">
      <c r="D202" s="4"/>
      <c r="E202" s="4"/>
      <c r="F202" s="4"/>
      <c r="G202" s="4"/>
    </row>
    <row r="203">
      <c r="D203" s="4"/>
      <c r="E203" s="4"/>
      <c r="F203" s="4"/>
      <c r="G203" s="4"/>
    </row>
    <row r="204">
      <c r="D204" s="4"/>
      <c r="E204" s="4"/>
      <c r="F204" s="4"/>
      <c r="G204" s="4"/>
    </row>
    <row r="205">
      <c r="D205" s="4"/>
      <c r="E205" s="4"/>
      <c r="F205" s="4"/>
      <c r="G205" s="4"/>
    </row>
    <row r="206">
      <c r="D206" s="4"/>
      <c r="E206" s="4"/>
      <c r="F206" s="4"/>
      <c r="G206" s="4"/>
    </row>
    <row r="207">
      <c r="D207" s="4"/>
      <c r="E207" s="4"/>
      <c r="F207" s="4"/>
      <c r="G207" s="4"/>
    </row>
    <row r="208">
      <c r="D208" s="4"/>
      <c r="E208" s="4"/>
      <c r="F208" s="4"/>
      <c r="G208" s="4"/>
    </row>
    <row r="209">
      <c r="D209" s="4"/>
      <c r="E209" s="4"/>
      <c r="F209" s="4"/>
      <c r="G209" s="4"/>
    </row>
    <row r="210">
      <c r="D210" s="4"/>
      <c r="E210" s="4"/>
      <c r="F210" s="4"/>
      <c r="G210" s="4"/>
    </row>
    <row r="211">
      <c r="D211" s="4"/>
      <c r="E211" s="4"/>
      <c r="F211" s="4"/>
      <c r="G211" s="4"/>
    </row>
    <row r="212">
      <c r="D212" s="4"/>
      <c r="E212" s="4"/>
      <c r="F212" s="4"/>
      <c r="G212" s="4"/>
    </row>
    <row r="213">
      <c r="D213" s="4"/>
      <c r="E213" s="4"/>
      <c r="F213" s="4"/>
      <c r="G213" s="4"/>
    </row>
    <row r="214">
      <c r="D214" s="4"/>
      <c r="E214" s="4"/>
      <c r="F214" s="4"/>
      <c r="G214" s="4"/>
    </row>
    <row r="215">
      <c r="D215" s="4"/>
      <c r="E215" s="4"/>
      <c r="F215" s="4"/>
      <c r="G215" s="4"/>
    </row>
    <row r="216">
      <c r="D216" s="4"/>
      <c r="E216" s="4"/>
      <c r="F216" s="4"/>
      <c r="G216" s="4"/>
    </row>
    <row r="217">
      <c r="D217" s="4"/>
      <c r="E217" s="4"/>
      <c r="F217" s="4"/>
      <c r="G217" s="4"/>
    </row>
    <row r="218">
      <c r="D218" s="4"/>
      <c r="E218" s="4"/>
      <c r="F218" s="4"/>
      <c r="G218" s="4"/>
    </row>
    <row r="219">
      <c r="D219" s="4"/>
      <c r="E219" s="4"/>
      <c r="F219" s="4"/>
      <c r="G219" s="4"/>
    </row>
    <row r="220">
      <c r="D220" s="4"/>
      <c r="E220" s="4"/>
      <c r="F220" s="4"/>
      <c r="G220" s="4"/>
    </row>
    <row r="221">
      <c r="D221" s="4"/>
      <c r="E221" s="4"/>
      <c r="F221" s="4"/>
      <c r="G221" s="4"/>
    </row>
    <row r="222">
      <c r="D222" s="4"/>
      <c r="E222" s="4"/>
      <c r="F222" s="4"/>
      <c r="G222" s="4"/>
    </row>
    <row r="223">
      <c r="D223" s="4"/>
      <c r="E223" s="4"/>
      <c r="F223" s="4"/>
      <c r="G223" s="4"/>
    </row>
    <row r="224">
      <c r="D224" s="4"/>
      <c r="E224" s="4"/>
      <c r="F224" s="4"/>
      <c r="G224" s="4"/>
    </row>
    <row r="225">
      <c r="D225" s="4"/>
      <c r="E225" s="4"/>
      <c r="F225" s="4"/>
      <c r="G225" s="4"/>
    </row>
    <row r="226">
      <c r="D226" s="4"/>
      <c r="E226" s="4"/>
      <c r="F226" s="4"/>
      <c r="G226" s="4"/>
    </row>
    <row r="227">
      <c r="D227" s="4"/>
      <c r="E227" s="4"/>
      <c r="F227" s="4"/>
      <c r="G227" s="4"/>
    </row>
    <row r="228">
      <c r="D228" s="4"/>
      <c r="E228" s="4"/>
      <c r="F228" s="4"/>
      <c r="G228" s="4"/>
    </row>
    <row r="229">
      <c r="D229" s="4"/>
      <c r="E229" s="4"/>
      <c r="F229" s="4"/>
      <c r="G229" s="4"/>
    </row>
    <row r="230">
      <c r="D230" s="4"/>
      <c r="E230" s="4"/>
      <c r="F230" s="4"/>
      <c r="G230" s="4"/>
    </row>
    <row r="231">
      <c r="D231" s="4"/>
      <c r="E231" s="4"/>
      <c r="F231" s="4"/>
      <c r="G231" s="4"/>
    </row>
    <row r="232">
      <c r="D232" s="4"/>
      <c r="E232" s="4"/>
      <c r="F232" s="4"/>
      <c r="G232" s="4"/>
    </row>
    <row r="233">
      <c r="D233" s="4"/>
      <c r="E233" s="4"/>
      <c r="F233" s="4"/>
      <c r="G233" s="4"/>
    </row>
    <row r="234">
      <c r="D234" s="4"/>
      <c r="E234" s="4"/>
      <c r="F234" s="4"/>
      <c r="G234" s="4"/>
    </row>
    <row r="235">
      <c r="D235" s="4"/>
      <c r="E235" s="4"/>
      <c r="F235" s="4"/>
      <c r="G235" s="4"/>
    </row>
    <row r="236">
      <c r="D236" s="4"/>
      <c r="E236" s="4"/>
      <c r="F236" s="4"/>
      <c r="G236" s="4"/>
    </row>
    <row r="237">
      <c r="D237" s="4"/>
      <c r="E237" s="4"/>
      <c r="F237" s="4"/>
      <c r="G237" s="4"/>
    </row>
    <row r="238">
      <c r="D238" s="4"/>
      <c r="E238" s="4"/>
      <c r="F238" s="4"/>
      <c r="G238" s="4"/>
    </row>
    <row r="239">
      <c r="D239" s="4"/>
      <c r="E239" s="4"/>
      <c r="F239" s="4"/>
      <c r="G239" s="4"/>
    </row>
    <row r="240">
      <c r="D240" s="4"/>
      <c r="E240" s="4"/>
      <c r="F240" s="4"/>
      <c r="G240" s="4"/>
    </row>
    <row r="241">
      <c r="D241" s="4"/>
      <c r="E241" s="4"/>
      <c r="F241" s="4"/>
      <c r="G241" s="4"/>
    </row>
    <row r="242">
      <c r="D242" s="4"/>
      <c r="E242" s="4"/>
      <c r="F242" s="4"/>
      <c r="G242" s="4"/>
    </row>
    <row r="243">
      <c r="D243" s="4"/>
      <c r="E243" s="4"/>
      <c r="F243" s="4"/>
      <c r="G243" s="4"/>
    </row>
    <row r="244">
      <c r="D244" s="4"/>
      <c r="E244" s="4"/>
      <c r="F244" s="4"/>
      <c r="G244" s="4"/>
    </row>
    <row r="245">
      <c r="D245" s="4"/>
      <c r="E245" s="4"/>
      <c r="F245" s="4"/>
      <c r="G245" s="4"/>
    </row>
    <row r="246">
      <c r="D246" s="4"/>
      <c r="E246" s="4"/>
      <c r="F246" s="4"/>
      <c r="G246" s="4"/>
    </row>
    <row r="247">
      <c r="D247" s="4"/>
      <c r="E247" s="4"/>
      <c r="F247" s="4"/>
      <c r="G247" s="4"/>
    </row>
    <row r="248">
      <c r="D248" s="4"/>
      <c r="E248" s="4"/>
      <c r="F248" s="4"/>
      <c r="G248" s="4"/>
    </row>
    <row r="249">
      <c r="D249" s="4"/>
      <c r="E249" s="4"/>
      <c r="F249" s="4"/>
      <c r="G249" s="4"/>
    </row>
    <row r="250">
      <c r="D250" s="4"/>
      <c r="E250" s="4"/>
      <c r="F250" s="4"/>
      <c r="G250" s="4"/>
    </row>
    <row r="251">
      <c r="D251" s="4"/>
      <c r="E251" s="4"/>
      <c r="F251" s="4"/>
      <c r="G251" s="4"/>
    </row>
    <row r="252">
      <c r="D252" s="4"/>
      <c r="E252" s="4"/>
      <c r="F252" s="4"/>
      <c r="G252" s="4"/>
    </row>
    <row r="253">
      <c r="D253" s="4"/>
      <c r="E253" s="4"/>
      <c r="F253" s="4"/>
      <c r="G253" s="4"/>
    </row>
    <row r="254">
      <c r="D254" s="4"/>
      <c r="E254" s="4"/>
      <c r="F254" s="4"/>
      <c r="G254" s="4"/>
    </row>
    <row r="255">
      <c r="D255" s="4"/>
      <c r="E255" s="4"/>
      <c r="F255" s="4"/>
      <c r="G255" s="4"/>
    </row>
    <row r="256">
      <c r="D256" s="4"/>
      <c r="E256" s="4"/>
      <c r="F256" s="4"/>
      <c r="G256" s="4"/>
    </row>
    <row r="257">
      <c r="D257" s="4"/>
      <c r="E257" s="4"/>
      <c r="F257" s="4"/>
      <c r="G257" s="4"/>
    </row>
    <row r="258">
      <c r="D258" s="4"/>
      <c r="E258" s="4"/>
      <c r="F258" s="4"/>
      <c r="G258" s="4"/>
    </row>
    <row r="259">
      <c r="D259" s="4"/>
      <c r="E259" s="4"/>
      <c r="F259" s="4"/>
      <c r="G259" s="4"/>
    </row>
    <row r="260">
      <c r="D260" s="4"/>
      <c r="E260" s="4"/>
      <c r="F260" s="4"/>
      <c r="G260" s="4"/>
    </row>
    <row r="261">
      <c r="D261" s="4"/>
      <c r="E261" s="4"/>
      <c r="F261" s="4"/>
      <c r="G261" s="4"/>
    </row>
    <row r="262">
      <c r="D262" s="4"/>
      <c r="E262" s="4"/>
      <c r="F262" s="4"/>
      <c r="G262" s="4"/>
    </row>
    <row r="263">
      <c r="D263" s="4"/>
      <c r="E263" s="4"/>
      <c r="F263" s="4"/>
      <c r="G263" s="4"/>
    </row>
    <row r="264">
      <c r="D264" s="4"/>
      <c r="E264" s="4"/>
      <c r="F264" s="4"/>
      <c r="G264" s="4"/>
    </row>
    <row r="265">
      <c r="D265" s="4"/>
      <c r="E265" s="4"/>
      <c r="F265" s="4"/>
      <c r="G265" s="4"/>
    </row>
    <row r="266">
      <c r="D266" s="4"/>
      <c r="E266" s="4"/>
      <c r="F266" s="4"/>
      <c r="G266" s="4"/>
    </row>
    <row r="267">
      <c r="D267" s="4"/>
      <c r="E267" s="4"/>
      <c r="F267" s="4"/>
      <c r="G267" s="4"/>
    </row>
    <row r="268">
      <c r="D268" s="4"/>
      <c r="E268" s="4"/>
      <c r="F268" s="4"/>
      <c r="G268" s="4"/>
    </row>
    <row r="269">
      <c r="D269" s="4"/>
      <c r="E269" s="4"/>
      <c r="F269" s="4"/>
      <c r="G269" s="4"/>
    </row>
    <row r="270">
      <c r="D270" s="4"/>
      <c r="E270" s="4"/>
      <c r="F270" s="4"/>
      <c r="G270" s="4"/>
    </row>
    <row r="271">
      <c r="D271" s="4"/>
      <c r="E271" s="4"/>
      <c r="F271" s="4"/>
      <c r="G271" s="4"/>
    </row>
    <row r="272">
      <c r="D272" s="4"/>
      <c r="E272" s="4"/>
      <c r="F272" s="4"/>
      <c r="G272" s="4"/>
    </row>
    <row r="273">
      <c r="D273" s="4"/>
      <c r="E273" s="4"/>
      <c r="F273" s="4"/>
      <c r="G273" s="4"/>
    </row>
    <row r="274">
      <c r="D274" s="4"/>
      <c r="E274" s="4"/>
      <c r="F274" s="4"/>
      <c r="G274" s="4"/>
    </row>
    <row r="275">
      <c r="D275" s="4"/>
      <c r="E275" s="4"/>
      <c r="F275" s="4"/>
      <c r="G275" s="4"/>
    </row>
    <row r="276">
      <c r="D276" s="4"/>
      <c r="E276" s="4"/>
      <c r="F276" s="4"/>
      <c r="G276" s="4"/>
    </row>
    <row r="277">
      <c r="D277" s="4"/>
      <c r="E277" s="4"/>
      <c r="F277" s="4"/>
      <c r="G277" s="4"/>
    </row>
    <row r="278">
      <c r="D278" s="4"/>
      <c r="E278" s="4"/>
      <c r="F278" s="4"/>
      <c r="G278" s="4"/>
    </row>
    <row r="279">
      <c r="D279" s="4"/>
      <c r="E279" s="4"/>
      <c r="F279" s="4"/>
      <c r="G279" s="4"/>
    </row>
    <row r="280">
      <c r="D280" s="4"/>
      <c r="E280" s="4"/>
      <c r="F280" s="4"/>
      <c r="G280" s="4"/>
    </row>
    <row r="281">
      <c r="D281" s="4"/>
      <c r="E281" s="4"/>
      <c r="F281" s="4"/>
      <c r="G281" s="4"/>
    </row>
    <row r="282">
      <c r="D282" s="4"/>
      <c r="E282" s="4"/>
      <c r="F282" s="4"/>
      <c r="G282" s="4"/>
    </row>
    <row r="283">
      <c r="D283" s="4"/>
      <c r="E283" s="4"/>
      <c r="F283" s="4"/>
      <c r="G283" s="4"/>
    </row>
    <row r="284">
      <c r="D284" s="4"/>
      <c r="E284" s="4"/>
      <c r="F284" s="4"/>
      <c r="G284" s="4"/>
    </row>
    <row r="285">
      <c r="D285" s="4"/>
      <c r="E285" s="4"/>
      <c r="F285" s="4"/>
      <c r="G285" s="4"/>
    </row>
    <row r="286">
      <c r="D286" s="4"/>
      <c r="E286" s="4"/>
      <c r="F286" s="4"/>
      <c r="G286" s="4"/>
    </row>
    <row r="287">
      <c r="D287" s="4"/>
      <c r="E287" s="4"/>
      <c r="F287" s="4"/>
      <c r="G287" s="4"/>
    </row>
    <row r="288">
      <c r="D288" s="4"/>
      <c r="E288" s="4"/>
      <c r="F288" s="4"/>
      <c r="G288" s="4"/>
    </row>
    <row r="289">
      <c r="D289" s="4"/>
      <c r="E289" s="4"/>
      <c r="F289" s="4"/>
      <c r="G289" s="4"/>
    </row>
    <row r="290">
      <c r="D290" s="4"/>
      <c r="E290" s="4"/>
      <c r="F290" s="4"/>
      <c r="G290" s="4"/>
    </row>
    <row r="291">
      <c r="D291" s="4"/>
      <c r="E291" s="4"/>
      <c r="F291" s="4"/>
      <c r="G291" s="4"/>
    </row>
    <row r="292">
      <c r="D292" s="4"/>
      <c r="E292" s="4"/>
      <c r="F292" s="4"/>
      <c r="G292" s="4"/>
    </row>
    <row r="293">
      <c r="D293" s="4"/>
      <c r="E293" s="4"/>
      <c r="F293" s="4"/>
      <c r="G293" s="4"/>
    </row>
    <row r="294">
      <c r="D294" s="4"/>
      <c r="E294" s="4"/>
      <c r="F294" s="4"/>
      <c r="G294" s="4"/>
    </row>
    <row r="295">
      <c r="D295" s="4"/>
      <c r="E295" s="4"/>
      <c r="F295" s="4"/>
      <c r="G295" s="4"/>
    </row>
    <row r="296">
      <c r="D296" s="4"/>
      <c r="E296" s="4"/>
      <c r="F296" s="4"/>
      <c r="G296" s="4"/>
    </row>
    <row r="297">
      <c r="D297" s="4"/>
      <c r="E297" s="4"/>
      <c r="F297" s="4"/>
      <c r="G297" s="4"/>
    </row>
    <row r="298">
      <c r="D298" s="4"/>
      <c r="E298" s="4"/>
      <c r="F298" s="4"/>
      <c r="G298" s="4"/>
    </row>
    <row r="299">
      <c r="D299" s="4"/>
      <c r="E299" s="4"/>
      <c r="F299" s="4"/>
      <c r="G299" s="4"/>
    </row>
    <row r="300">
      <c r="D300" s="4"/>
      <c r="E300" s="4"/>
      <c r="F300" s="4"/>
      <c r="G300" s="4"/>
    </row>
    <row r="301">
      <c r="D301" s="4"/>
      <c r="E301" s="4"/>
      <c r="F301" s="4"/>
      <c r="G301" s="4"/>
    </row>
    <row r="302">
      <c r="D302" s="4"/>
      <c r="E302" s="4"/>
      <c r="F302" s="4"/>
      <c r="G302" s="4"/>
    </row>
    <row r="303">
      <c r="D303" s="4"/>
      <c r="E303" s="4"/>
      <c r="F303" s="4"/>
      <c r="G303" s="4"/>
    </row>
    <row r="304">
      <c r="D304" s="4"/>
      <c r="E304" s="4"/>
      <c r="F304" s="4"/>
      <c r="G304" s="4"/>
    </row>
    <row r="305">
      <c r="D305" s="4"/>
      <c r="E305" s="4"/>
      <c r="F305" s="4"/>
      <c r="G305" s="4"/>
    </row>
    <row r="306">
      <c r="D306" s="4"/>
      <c r="E306" s="4"/>
      <c r="F306" s="4"/>
      <c r="G306" s="4"/>
    </row>
    <row r="307">
      <c r="D307" s="4"/>
      <c r="E307" s="4"/>
      <c r="F307" s="4"/>
      <c r="G307" s="4"/>
    </row>
    <row r="308">
      <c r="D308" s="4"/>
      <c r="E308" s="4"/>
      <c r="F308" s="4"/>
      <c r="G308" s="4"/>
    </row>
    <row r="309">
      <c r="D309" s="4"/>
      <c r="E309" s="4"/>
      <c r="F309" s="4"/>
      <c r="G309" s="4"/>
    </row>
    <row r="310">
      <c r="D310" s="4"/>
      <c r="E310" s="4"/>
      <c r="F310" s="4"/>
      <c r="G310" s="4"/>
    </row>
    <row r="311">
      <c r="D311" s="4"/>
      <c r="E311" s="4"/>
      <c r="F311" s="4"/>
      <c r="G311" s="4"/>
    </row>
    <row r="312">
      <c r="D312" s="4"/>
      <c r="E312" s="4"/>
      <c r="F312" s="4"/>
      <c r="G312" s="4"/>
    </row>
    <row r="313">
      <c r="D313" s="4"/>
      <c r="E313" s="4"/>
      <c r="F313" s="4"/>
      <c r="G313" s="4"/>
    </row>
    <row r="314">
      <c r="D314" s="4"/>
      <c r="E314" s="4"/>
      <c r="F314" s="4"/>
      <c r="G314" s="4"/>
    </row>
    <row r="315">
      <c r="D315" s="4"/>
      <c r="E315" s="4"/>
      <c r="F315" s="4"/>
      <c r="G315" s="4"/>
    </row>
    <row r="316">
      <c r="D316" s="4"/>
      <c r="E316" s="4"/>
      <c r="F316" s="4"/>
      <c r="G316" s="4"/>
    </row>
    <row r="317">
      <c r="D317" s="4"/>
      <c r="E317" s="4"/>
      <c r="F317" s="4"/>
      <c r="G317" s="4"/>
    </row>
    <row r="318">
      <c r="D318" s="4"/>
      <c r="E318" s="4"/>
      <c r="F318" s="4"/>
      <c r="G318" s="4"/>
    </row>
    <row r="319">
      <c r="D319" s="4"/>
      <c r="E319" s="4"/>
      <c r="F319" s="4"/>
      <c r="G319" s="4"/>
    </row>
    <row r="320">
      <c r="D320" s="4"/>
      <c r="E320" s="4"/>
      <c r="F320" s="4"/>
      <c r="G320" s="4"/>
    </row>
    <row r="321">
      <c r="D321" s="4"/>
      <c r="E321" s="4"/>
      <c r="F321" s="4"/>
      <c r="G321" s="4"/>
    </row>
    <row r="322">
      <c r="D322" s="4"/>
      <c r="E322" s="4"/>
      <c r="F322" s="4"/>
      <c r="G322" s="4"/>
    </row>
    <row r="323">
      <c r="D323" s="4"/>
      <c r="E323" s="4"/>
      <c r="F323" s="4"/>
      <c r="G323" s="4"/>
    </row>
    <row r="324">
      <c r="D324" s="4"/>
      <c r="E324" s="4"/>
      <c r="F324" s="4"/>
      <c r="G324" s="4"/>
    </row>
    <row r="325">
      <c r="D325" s="4"/>
      <c r="E325" s="4"/>
      <c r="F325" s="4"/>
      <c r="G325" s="4"/>
    </row>
    <row r="326">
      <c r="D326" s="4"/>
      <c r="E326" s="4"/>
      <c r="F326" s="4"/>
      <c r="G326" s="4"/>
    </row>
    <row r="327">
      <c r="D327" s="4"/>
      <c r="E327" s="4"/>
      <c r="F327" s="4"/>
      <c r="G327" s="4"/>
    </row>
    <row r="328">
      <c r="D328" s="4"/>
      <c r="E328" s="4"/>
      <c r="F328" s="4"/>
      <c r="G328" s="4"/>
    </row>
    <row r="329">
      <c r="D329" s="4"/>
      <c r="E329" s="4"/>
      <c r="F329" s="4"/>
      <c r="G329" s="4"/>
    </row>
    <row r="330">
      <c r="D330" s="4"/>
      <c r="E330" s="4"/>
      <c r="F330" s="4"/>
      <c r="G330" s="4"/>
    </row>
    <row r="331">
      <c r="D331" s="4"/>
      <c r="E331" s="4"/>
      <c r="F331" s="4"/>
      <c r="G331" s="4"/>
    </row>
    <row r="332">
      <c r="D332" s="4"/>
      <c r="E332" s="4"/>
      <c r="F332" s="4"/>
      <c r="G332" s="4"/>
    </row>
    <row r="333">
      <c r="D333" s="4"/>
      <c r="E333" s="4"/>
      <c r="F333" s="4"/>
      <c r="G333" s="4"/>
    </row>
    <row r="334">
      <c r="D334" s="4"/>
      <c r="E334" s="4"/>
      <c r="F334" s="4"/>
      <c r="G334" s="4"/>
    </row>
    <row r="335">
      <c r="D335" s="4"/>
      <c r="E335" s="4"/>
      <c r="F335" s="4"/>
      <c r="G335" s="4"/>
    </row>
    <row r="336">
      <c r="D336" s="4"/>
      <c r="E336" s="4"/>
      <c r="F336" s="4"/>
      <c r="G336" s="4"/>
    </row>
    <row r="337">
      <c r="D337" s="4"/>
      <c r="E337" s="4"/>
      <c r="F337" s="4"/>
      <c r="G337" s="4"/>
    </row>
    <row r="338">
      <c r="D338" s="4"/>
      <c r="E338" s="4"/>
      <c r="F338" s="4"/>
      <c r="G338" s="4"/>
    </row>
    <row r="339">
      <c r="D339" s="4"/>
      <c r="E339" s="4"/>
      <c r="F339" s="4"/>
      <c r="G339" s="4"/>
    </row>
    <row r="340">
      <c r="D340" s="4"/>
      <c r="E340" s="4"/>
      <c r="F340" s="4"/>
      <c r="G340" s="4"/>
    </row>
    <row r="341">
      <c r="D341" s="4"/>
      <c r="E341" s="4"/>
      <c r="F341" s="4"/>
      <c r="G341" s="4"/>
    </row>
    <row r="342">
      <c r="D342" s="4"/>
      <c r="E342" s="4"/>
      <c r="F342" s="4"/>
      <c r="G342" s="4"/>
    </row>
    <row r="343">
      <c r="D343" s="4"/>
      <c r="E343" s="4"/>
      <c r="F343" s="4"/>
      <c r="G343" s="4"/>
    </row>
    <row r="344">
      <c r="D344" s="4"/>
      <c r="E344" s="4"/>
      <c r="F344" s="4"/>
      <c r="G344" s="4"/>
    </row>
    <row r="345">
      <c r="D345" s="4"/>
      <c r="E345" s="4"/>
      <c r="F345" s="4"/>
      <c r="G345" s="4"/>
    </row>
    <row r="346">
      <c r="D346" s="4"/>
      <c r="E346" s="4"/>
      <c r="F346" s="4"/>
      <c r="G346" s="4"/>
    </row>
    <row r="347">
      <c r="D347" s="4"/>
      <c r="E347" s="4"/>
      <c r="F347" s="4"/>
      <c r="G347" s="4"/>
    </row>
    <row r="348">
      <c r="D348" s="4"/>
      <c r="E348" s="4"/>
      <c r="F348" s="4"/>
      <c r="G348" s="4"/>
    </row>
    <row r="349">
      <c r="D349" s="4"/>
      <c r="E349" s="4"/>
      <c r="F349" s="4"/>
      <c r="G349" s="4"/>
    </row>
    <row r="350">
      <c r="D350" s="4"/>
      <c r="E350" s="4"/>
      <c r="F350" s="4"/>
      <c r="G350" s="4"/>
    </row>
    <row r="351">
      <c r="D351" s="4"/>
      <c r="E351" s="4"/>
      <c r="F351" s="4"/>
      <c r="G351" s="4"/>
    </row>
    <row r="352">
      <c r="D352" s="4"/>
      <c r="E352" s="4"/>
      <c r="F352" s="4"/>
      <c r="G352" s="4"/>
    </row>
    <row r="353">
      <c r="D353" s="4"/>
      <c r="E353" s="4"/>
      <c r="F353" s="4"/>
      <c r="G353" s="4"/>
    </row>
    <row r="354">
      <c r="D354" s="4"/>
      <c r="E354" s="4"/>
      <c r="F354" s="4"/>
      <c r="G354" s="4"/>
    </row>
    <row r="355">
      <c r="D355" s="4"/>
      <c r="E355" s="4"/>
      <c r="F355" s="4"/>
      <c r="G355" s="4"/>
    </row>
    <row r="356">
      <c r="D356" s="4"/>
      <c r="E356" s="4"/>
      <c r="F356" s="4"/>
      <c r="G356" s="4"/>
    </row>
    <row r="357">
      <c r="D357" s="4"/>
      <c r="E357" s="4"/>
      <c r="F357" s="4"/>
      <c r="G357" s="4"/>
    </row>
    <row r="358">
      <c r="D358" s="4"/>
      <c r="E358" s="4"/>
      <c r="F358" s="4"/>
      <c r="G358" s="4"/>
    </row>
    <row r="359">
      <c r="D359" s="4"/>
      <c r="E359" s="4"/>
      <c r="F359" s="4"/>
      <c r="G359" s="4"/>
    </row>
    <row r="360">
      <c r="D360" s="4"/>
      <c r="E360" s="4"/>
      <c r="F360" s="4"/>
      <c r="G360" s="4"/>
    </row>
    <row r="361">
      <c r="D361" s="4"/>
      <c r="E361" s="4"/>
      <c r="F361" s="4"/>
      <c r="G361" s="4"/>
    </row>
    <row r="362">
      <c r="D362" s="4"/>
      <c r="E362" s="4"/>
      <c r="F362" s="4"/>
      <c r="G362" s="4"/>
    </row>
    <row r="363">
      <c r="D363" s="4"/>
      <c r="E363" s="4"/>
      <c r="F363" s="4"/>
      <c r="G363" s="4"/>
    </row>
    <row r="364">
      <c r="D364" s="4"/>
      <c r="E364" s="4"/>
      <c r="F364" s="4"/>
      <c r="G364" s="4"/>
    </row>
    <row r="365">
      <c r="D365" s="4"/>
      <c r="E365" s="4"/>
      <c r="F365" s="4"/>
      <c r="G365" s="4"/>
    </row>
    <row r="366">
      <c r="D366" s="4"/>
      <c r="E366" s="4"/>
      <c r="F366" s="4"/>
      <c r="G366" s="4"/>
    </row>
    <row r="367">
      <c r="D367" s="4"/>
      <c r="E367" s="4"/>
      <c r="F367" s="4"/>
      <c r="G367" s="4"/>
    </row>
    <row r="368">
      <c r="D368" s="4"/>
      <c r="E368" s="4"/>
      <c r="F368" s="4"/>
      <c r="G368" s="4"/>
    </row>
    <row r="369">
      <c r="D369" s="4"/>
      <c r="E369" s="4"/>
      <c r="F369" s="4"/>
      <c r="G369" s="4"/>
    </row>
    <row r="370">
      <c r="D370" s="4"/>
      <c r="E370" s="4"/>
      <c r="F370" s="4"/>
      <c r="G370" s="4"/>
    </row>
    <row r="371">
      <c r="D371" s="4"/>
      <c r="E371" s="4"/>
      <c r="F371" s="4"/>
      <c r="G371" s="4"/>
    </row>
    <row r="372">
      <c r="D372" s="4"/>
      <c r="E372" s="4"/>
      <c r="F372" s="4"/>
      <c r="G372" s="4"/>
    </row>
    <row r="373">
      <c r="D373" s="4"/>
      <c r="E373" s="4"/>
      <c r="F373" s="4"/>
      <c r="G373" s="4"/>
    </row>
    <row r="374">
      <c r="D374" s="4"/>
      <c r="E374" s="4"/>
      <c r="F374" s="4"/>
      <c r="G374" s="4"/>
    </row>
    <row r="375">
      <c r="D375" s="4"/>
      <c r="E375" s="4"/>
      <c r="F375" s="4"/>
      <c r="G375" s="4"/>
    </row>
    <row r="376">
      <c r="D376" s="4"/>
      <c r="E376" s="4"/>
      <c r="F376" s="4"/>
      <c r="G376" s="4"/>
    </row>
    <row r="377">
      <c r="D377" s="4"/>
      <c r="E377" s="4"/>
      <c r="F377" s="4"/>
      <c r="G377" s="4"/>
    </row>
    <row r="378">
      <c r="D378" s="4"/>
      <c r="E378" s="4"/>
      <c r="F378" s="4"/>
      <c r="G378" s="4"/>
    </row>
    <row r="379">
      <c r="D379" s="4"/>
      <c r="E379" s="4"/>
      <c r="F379" s="4"/>
      <c r="G379" s="4"/>
    </row>
    <row r="380">
      <c r="D380" s="4"/>
      <c r="E380" s="4"/>
      <c r="F380" s="4"/>
      <c r="G380" s="4"/>
    </row>
    <row r="381">
      <c r="D381" s="4"/>
      <c r="E381" s="4"/>
      <c r="F381" s="4"/>
      <c r="G381" s="4"/>
    </row>
    <row r="382">
      <c r="D382" s="4"/>
      <c r="E382" s="4"/>
      <c r="F382" s="4"/>
      <c r="G382" s="4"/>
    </row>
    <row r="383">
      <c r="D383" s="4"/>
      <c r="E383" s="4"/>
      <c r="F383" s="4"/>
      <c r="G383" s="4"/>
    </row>
    <row r="384">
      <c r="D384" s="4"/>
      <c r="E384" s="4"/>
      <c r="F384" s="4"/>
      <c r="G384" s="4"/>
    </row>
    <row r="385">
      <c r="D385" s="4"/>
      <c r="E385" s="4"/>
      <c r="F385" s="4"/>
      <c r="G385" s="4"/>
    </row>
    <row r="386">
      <c r="D386" s="4"/>
      <c r="E386" s="4"/>
      <c r="F386" s="4"/>
      <c r="G386" s="4"/>
    </row>
    <row r="387">
      <c r="D387" s="4"/>
      <c r="E387" s="4"/>
      <c r="F387" s="4"/>
      <c r="G387" s="4"/>
    </row>
    <row r="388">
      <c r="D388" s="4"/>
      <c r="E388" s="4"/>
      <c r="F388" s="4"/>
      <c r="G388" s="4"/>
    </row>
    <row r="389">
      <c r="D389" s="4"/>
      <c r="E389" s="4"/>
      <c r="F389" s="4"/>
      <c r="G389" s="4"/>
    </row>
    <row r="390">
      <c r="D390" s="4"/>
      <c r="E390" s="4"/>
      <c r="F390" s="4"/>
      <c r="G390" s="4"/>
    </row>
    <row r="391">
      <c r="D391" s="4"/>
      <c r="E391" s="4"/>
      <c r="F391" s="4"/>
      <c r="G391" s="4"/>
    </row>
    <row r="392">
      <c r="D392" s="4"/>
      <c r="E392" s="4"/>
      <c r="F392" s="4"/>
      <c r="G392" s="4"/>
    </row>
    <row r="393">
      <c r="D393" s="4"/>
      <c r="E393" s="4"/>
      <c r="F393" s="4"/>
      <c r="G393" s="4"/>
    </row>
    <row r="394">
      <c r="D394" s="4"/>
      <c r="E394" s="4"/>
      <c r="F394" s="4"/>
      <c r="G394" s="4"/>
    </row>
    <row r="395">
      <c r="D395" s="4"/>
      <c r="E395" s="4"/>
      <c r="F395" s="4"/>
      <c r="G395" s="4"/>
    </row>
    <row r="396">
      <c r="D396" s="4"/>
      <c r="E396" s="4"/>
      <c r="F396" s="4"/>
      <c r="G396" s="4"/>
    </row>
    <row r="397">
      <c r="D397" s="4"/>
      <c r="E397" s="4"/>
      <c r="F397" s="4"/>
      <c r="G397" s="4"/>
    </row>
    <row r="398">
      <c r="D398" s="4"/>
      <c r="E398" s="4"/>
      <c r="F398" s="4"/>
      <c r="G398" s="4"/>
    </row>
    <row r="399">
      <c r="D399" s="4"/>
      <c r="E399" s="4"/>
      <c r="F399" s="4"/>
      <c r="G399" s="4"/>
    </row>
    <row r="400">
      <c r="D400" s="4"/>
      <c r="E400" s="4"/>
      <c r="F400" s="4"/>
      <c r="G400" s="4"/>
    </row>
    <row r="401">
      <c r="D401" s="4"/>
      <c r="E401" s="4"/>
      <c r="F401" s="4"/>
      <c r="G401" s="4"/>
    </row>
    <row r="402">
      <c r="D402" s="4"/>
      <c r="E402" s="4"/>
      <c r="F402" s="4"/>
      <c r="G402" s="4"/>
    </row>
    <row r="403">
      <c r="D403" s="4"/>
      <c r="E403" s="4"/>
      <c r="F403" s="4"/>
      <c r="G403" s="4"/>
    </row>
    <row r="404">
      <c r="D404" s="4"/>
      <c r="E404" s="4"/>
      <c r="F404" s="4"/>
      <c r="G404" s="4"/>
    </row>
    <row r="405">
      <c r="D405" s="4"/>
      <c r="E405" s="4"/>
      <c r="F405" s="4"/>
      <c r="G405" s="4"/>
    </row>
    <row r="406">
      <c r="D406" s="4"/>
      <c r="E406" s="4"/>
      <c r="F406" s="4"/>
      <c r="G406" s="4"/>
    </row>
    <row r="407">
      <c r="D407" s="4"/>
      <c r="E407" s="4"/>
      <c r="F407" s="4"/>
      <c r="G407" s="4"/>
    </row>
    <row r="408">
      <c r="D408" s="4"/>
      <c r="E408" s="4"/>
      <c r="F408" s="4"/>
      <c r="G408" s="4"/>
    </row>
    <row r="409">
      <c r="D409" s="4"/>
      <c r="E409" s="4"/>
      <c r="F409" s="4"/>
      <c r="G409" s="4"/>
    </row>
    <row r="410">
      <c r="D410" s="4"/>
      <c r="E410" s="4"/>
      <c r="F410" s="4"/>
      <c r="G410" s="4"/>
    </row>
    <row r="411">
      <c r="D411" s="4"/>
      <c r="E411" s="4"/>
      <c r="F411" s="4"/>
      <c r="G411" s="4"/>
    </row>
    <row r="412">
      <c r="D412" s="4"/>
      <c r="E412" s="4"/>
      <c r="F412" s="4"/>
      <c r="G412" s="4"/>
    </row>
    <row r="413">
      <c r="D413" s="4"/>
      <c r="E413" s="4"/>
      <c r="F413" s="4"/>
      <c r="G413" s="4"/>
    </row>
    <row r="414">
      <c r="D414" s="4"/>
      <c r="E414" s="4"/>
      <c r="F414" s="4"/>
      <c r="G414" s="4"/>
    </row>
    <row r="415">
      <c r="D415" s="4"/>
      <c r="E415" s="4"/>
      <c r="F415" s="4"/>
      <c r="G415" s="4"/>
    </row>
    <row r="416">
      <c r="D416" s="4"/>
      <c r="E416" s="4"/>
      <c r="F416" s="4"/>
      <c r="G416" s="4"/>
    </row>
    <row r="417">
      <c r="D417" s="4"/>
      <c r="E417" s="4"/>
      <c r="F417" s="4"/>
      <c r="G417" s="4"/>
    </row>
    <row r="418">
      <c r="D418" s="4"/>
      <c r="E418" s="4"/>
      <c r="F418" s="4"/>
      <c r="G418" s="4"/>
    </row>
    <row r="419">
      <c r="D419" s="4"/>
      <c r="E419" s="4"/>
      <c r="F419" s="4"/>
      <c r="G419" s="4"/>
    </row>
    <row r="420">
      <c r="D420" s="4"/>
      <c r="E420" s="4"/>
      <c r="F420" s="4"/>
      <c r="G420" s="4"/>
    </row>
    <row r="421">
      <c r="D421" s="4"/>
      <c r="E421" s="4"/>
      <c r="F421" s="4"/>
      <c r="G421" s="4"/>
    </row>
    <row r="422">
      <c r="D422" s="4"/>
      <c r="E422" s="4"/>
      <c r="F422" s="4"/>
      <c r="G422" s="4"/>
    </row>
    <row r="423">
      <c r="D423" s="4"/>
      <c r="E423" s="4"/>
      <c r="F423" s="4"/>
      <c r="G423" s="4"/>
    </row>
    <row r="424">
      <c r="D424" s="4"/>
      <c r="E424" s="4"/>
      <c r="F424" s="4"/>
      <c r="G424" s="4"/>
    </row>
    <row r="425">
      <c r="D425" s="4"/>
      <c r="E425" s="4"/>
      <c r="F425" s="4"/>
      <c r="G425" s="4"/>
    </row>
    <row r="426">
      <c r="D426" s="4"/>
      <c r="E426" s="4"/>
      <c r="F426" s="4"/>
      <c r="G426" s="4"/>
    </row>
    <row r="427">
      <c r="D427" s="4"/>
      <c r="E427" s="4"/>
      <c r="F427" s="4"/>
      <c r="G427" s="4"/>
    </row>
    <row r="428">
      <c r="D428" s="4"/>
      <c r="E428" s="4"/>
      <c r="F428" s="4"/>
      <c r="G428" s="4"/>
    </row>
    <row r="429">
      <c r="D429" s="4"/>
      <c r="E429" s="4"/>
      <c r="F429" s="4"/>
      <c r="G429" s="4"/>
    </row>
    <row r="430">
      <c r="D430" s="4"/>
      <c r="E430" s="4"/>
      <c r="F430" s="4"/>
      <c r="G430" s="4"/>
    </row>
    <row r="431">
      <c r="D431" s="4"/>
      <c r="E431" s="4"/>
      <c r="F431" s="4"/>
      <c r="G431" s="4"/>
    </row>
    <row r="432">
      <c r="D432" s="4"/>
      <c r="E432" s="4"/>
      <c r="F432" s="4"/>
      <c r="G432" s="4"/>
    </row>
    <row r="433">
      <c r="D433" s="4"/>
      <c r="E433" s="4"/>
      <c r="F433" s="4"/>
      <c r="G433" s="4"/>
    </row>
    <row r="434">
      <c r="D434" s="4"/>
      <c r="E434" s="4"/>
      <c r="F434" s="4"/>
      <c r="G434" s="4"/>
    </row>
    <row r="435">
      <c r="D435" s="4"/>
      <c r="E435" s="4"/>
      <c r="F435" s="4"/>
      <c r="G435" s="4"/>
    </row>
    <row r="436">
      <c r="D436" s="4"/>
      <c r="E436" s="4"/>
      <c r="F436" s="4"/>
      <c r="G436" s="4"/>
    </row>
    <row r="437">
      <c r="D437" s="4"/>
      <c r="E437" s="4"/>
      <c r="F437" s="4"/>
      <c r="G437" s="4"/>
    </row>
    <row r="438">
      <c r="D438" s="4"/>
      <c r="E438" s="4"/>
      <c r="F438" s="4"/>
      <c r="G438" s="4"/>
    </row>
    <row r="439">
      <c r="D439" s="4"/>
      <c r="E439" s="4"/>
      <c r="F439" s="4"/>
      <c r="G439" s="4"/>
    </row>
    <row r="440">
      <c r="D440" s="4"/>
      <c r="E440" s="4"/>
      <c r="F440" s="4"/>
      <c r="G440" s="4"/>
    </row>
    <row r="441">
      <c r="D441" s="4"/>
      <c r="E441" s="4"/>
      <c r="F441" s="4"/>
      <c r="G441" s="4"/>
    </row>
    <row r="442">
      <c r="D442" s="4"/>
      <c r="E442" s="4"/>
      <c r="F442" s="4"/>
      <c r="G442" s="4"/>
    </row>
    <row r="443">
      <c r="D443" s="4"/>
      <c r="E443" s="4"/>
      <c r="F443" s="4"/>
      <c r="G443" s="4"/>
    </row>
    <row r="444">
      <c r="D444" s="4"/>
      <c r="E444" s="4"/>
      <c r="F444" s="4"/>
      <c r="G444" s="4"/>
    </row>
    <row r="445">
      <c r="D445" s="4"/>
      <c r="E445" s="4"/>
      <c r="F445" s="4"/>
      <c r="G445" s="4"/>
    </row>
    <row r="446">
      <c r="D446" s="4"/>
      <c r="E446" s="4"/>
      <c r="F446" s="4"/>
      <c r="G446" s="4"/>
    </row>
    <row r="447">
      <c r="D447" s="4"/>
      <c r="E447" s="4"/>
      <c r="F447" s="4"/>
      <c r="G447" s="4"/>
    </row>
    <row r="448">
      <c r="D448" s="4"/>
      <c r="E448" s="4"/>
      <c r="F448" s="4"/>
      <c r="G448" s="4"/>
    </row>
    <row r="449">
      <c r="D449" s="4"/>
      <c r="E449" s="4"/>
      <c r="F449" s="4"/>
      <c r="G449" s="4"/>
    </row>
    <row r="450">
      <c r="D450" s="4"/>
      <c r="E450" s="4"/>
      <c r="F450" s="4"/>
      <c r="G450" s="4"/>
    </row>
    <row r="451">
      <c r="D451" s="4"/>
      <c r="E451" s="4"/>
      <c r="F451" s="4"/>
      <c r="G451" s="4"/>
    </row>
    <row r="452">
      <c r="D452" s="4"/>
      <c r="E452" s="4"/>
      <c r="F452" s="4"/>
      <c r="G452" s="4"/>
    </row>
    <row r="453">
      <c r="D453" s="4"/>
      <c r="E453" s="4"/>
      <c r="F453" s="4"/>
      <c r="G453" s="4"/>
    </row>
    <row r="454">
      <c r="D454" s="4"/>
      <c r="E454" s="4"/>
      <c r="F454" s="4"/>
      <c r="G454" s="4"/>
    </row>
    <row r="455">
      <c r="D455" s="4"/>
      <c r="E455" s="4"/>
      <c r="F455" s="4"/>
      <c r="G455" s="4"/>
    </row>
    <row r="456">
      <c r="D456" s="4"/>
      <c r="E456" s="4"/>
      <c r="F456" s="4"/>
      <c r="G456" s="4"/>
    </row>
    <row r="457">
      <c r="D457" s="4"/>
      <c r="E457" s="4"/>
      <c r="F457" s="4"/>
      <c r="G457" s="4"/>
    </row>
    <row r="458">
      <c r="D458" s="4"/>
      <c r="E458" s="4"/>
      <c r="F458" s="4"/>
      <c r="G458" s="4"/>
    </row>
    <row r="459">
      <c r="D459" s="4"/>
      <c r="E459" s="4"/>
      <c r="F459" s="4"/>
      <c r="G459" s="4"/>
    </row>
    <row r="460">
      <c r="D460" s="4"/>
      <c r="E460" s="4"/>
      <c r="F460" s="4"/>
      <c r="G460" s="4"/>
    </row>
    <row r="461">
      <c r="D461" s="4"/>
      <c r="E461" s="4"/>
      <c r="F461" s="4"/>
      <c r="G461" s="4"/>
    </row>
    <row r="462">
      <c r="D462" s="4"/>
      <c r="E462" s="4"/>
      <c r="F462" s="4"/>
      <c r="G462" s="4"/>
    </row>
    <row r="463">
      <c r="D463" s="4"/>
      <c r="E463" s="4"/>
      <c r="F463" s="4"/>
      <c r="G463" s="4"/>
    </row>
    <row r="464">
      <c r="D464" s="4"/>
      <c r="E464" s="4"/>
      <c r="F464" s="4"/>
      <c r="G464" s="4"/>
    </row>
    <row r="465">
      <c r="D465" s="4"/>
      <c r="E465" s="4"/>
      <c r="F465" s="4"/>
      <c r="G465" s="4"/>
    </row>
    <row r="466">
      <c r="D466" s="4"/>
      <c r="E466" s="4"/>
      <c r="F466" s="4"/>
      <c r="G466" s="4"/>
    </row>
    <row r="467">
      <c r="D467" s="4"/>
      <c r="E467" s="4"/>
      <c r="F467" s="4"/>
      <c r="G467" s="4"/>
    </row>
    <row r="468">
      <c r="D468" s="4"/>
      <c r="E468" s="4"/>
      <c r="F468" s="4"/>
      <c r="G468" s="4"/>
    </row>
    <row r="469">
      <c r="D469" s="4"/>
      <c r="E469" s="4"/>
      <c r="F469" s="4"/>
      <c r="G469" s="4"/>
    </row>
    <row r="470">
      <c r="D470" s="4"/>
      <c r="E470" s="4"/>
      <c r="F470" s="4"/>
      <c r="G470" s="4"/>
    </row>
    <row r="471">
      <c r="D471" s="4"/>
      <c r="E471" s="4"/>
      <c r="F471" s="4"/>
      <c r="G471" s="4"/>
    </row>
    <row r="472">
      <c r="D472" s="4"/>
      <c r="E472" s="4"/>
      <c r="F472" s="4"/>
      <c r="G472" s="4"/>
    </row>
    <row r="473">
      <c r="D473" s="4"/>
      <c r="E473" s="4"/>
      <c r="F473" s="4"/>
      <c r="G473" s="4"/>
    </row>
    <row r="474">
      <c r="D474" s="4"/>
      <c r="E474" s="4"/>
      <c r="F474" s="4"/>
      <c r="G474" s="4"/>
    </row>
    <row r="475">
      <c r="D475" s="4"/>
      <c r="E475" s="4"/>
      <c r="F475" s="4"/>
      <c r="G475" s="4"/>
    </row>
    <row r="476">
      <c r="D476" s="4"/>
      <c r="E476" s="4"/>
      <c r="F476" s="4"/>
      <c r="G476" s="4"/>
    </row>
    <row r="477">
      <c r="D477" s="4"/>
      <c r="E477" s="4"/>
      <c r="F477" s="4"/>
      <c r="G477" s="4"/>
    </row>
    <row r="478">
      <c r="D478" s="4"/>
      <c r="E478" s="4"/>
      <c r="F478" s="4"/>
      <c r="G478" s="4"/>
    </row>
    <row r="479">
      <c r="D479" s="4"/>
      <c r="E479" s="4"/>
      <c r="F479" s="4"/>
      <c r="G479" s="4"/>
    </row>
    <row r="480">
      <c r="D480" s="4"/>
      <c r="E480" s="4"/>
      <c r="F480" s="4"/>
      <c r="G480" s="4"/>
    </row>
    <row r="481">
      <c r="D481" s="4"/>
      <c r="E481" s="4"/>
      <c r="F481" s="4"/>
      <c r="G481" s="4"/>
    </row>
    <row r="482">
      <c r="D482" s="4"/>
      <c r="E482" s="4"/>
      <c r="F482" s="4"/>
      <c r="G482" s="4"/>
    </row>
    <row r="483">
      <c r="D483" s="4"/>
      <c r="E483" s="4"/>
      <c r="F483" s="4"/>
      <c r="G483" s="4"/>
    </row>
    <row r="484">
      <c r="D484" s="4"/>
      <c r="E484" s="4"/>
      <c r="F484" s="4"/>
      <c r="G484" s="4"/>
    </row>
    <row r="485">
      <c r="D485" s="4"/>
      <c r="E485" s="4"/>
      <c r="F485" s="4"/>
      <c r="G485" s="4"/>
    </row>
    <row r="486">
      <c r="D486" s="4"/>
      <c r="E486" s="4"/>
      <c r="F486" s="4"/>
      <c r="G486" s="4"/>
    </row>
    <row r="487">
      <c r="D487" s="4"/>
      <c r="E487" s="4"/>
      <c r="F487" s="4"/>
      <c r="G487" s="4"/>
    </row>
    <row r="488">
      <c r="D488" s="4"/>
      <c r="E488" s="4"/>
      <c r="F488" s="4"/>
      <c r="G488" s="4"/>
    </row>
    <row r="489">
      <c r="D489" s="4"/>
      <c r="E489" s="4"/>
      <c r="F489" s="4"/>
      <c r="G489" s="4"/>
    </row>
    <row r="490">
      <c r="D490" s="4"/>
      <c r="E490" s="4"/>
      <c r="F490" s="4"/>
      <c r="G490" s="4"/>
    </row>
    <row r="491">
      <c r="D491" s="4"/>
      <c r="E491" s="4"/>
      <c r="F491" s="4"/>
      <c r="G491" s="4"/>
    </row>
    <row r="492">
      <c r="D492" s="4"/>
      <c r="E492" s="4"/>
      <c r="F492" s="4"/>
      <c r="G492" s="4"/>
    </row>
    <row r="493">
      <c r="D493" s="4"/>
      <c r="E493" s="4"/>
      <c r="F493" s="4"/>
      <c r="G493" s="4"/>
    </row>
    <row r="494">
      <c r="D494" s="4"/>
      <c r="E494" s="4"/>
      <c r="F494" s="4"/>
      <c r="G494" s="4"/>
    </row>
    <row r="495">
      <c r="D495" s="4"/>
      <c r="E495" s="4"/>
      <c r="F495" s="4"/>
      <c r="G495" s="4"/>
    </row>
    <row r="496">
      <c r="D496" s="4"/>
      <c r="E496" s="4"/>
      <c r="F496" s="4"/>
      <c r="G496" s="4"/>
    </row>
    <row r="497">
      <c r="D497" s="4"/>
      <c r="E497" s="4"/>
      <c r="F497" s="4"/>
      <c r="G497" s="4"/>
    </row>
    <row r="498">
      <c r="D498" s="4"/>
      <c r="E498" s="4"/>
      <c r="F498" s="4"/>
      <c r="G498" s="4"/>
    </row>
    <row r="499">
      <c r="D499" s="4"/>
      <c r="E499" s="4"/>
      <c r="F499" s="4"/>
      <c r="G499" s="4"/>
    </row>
    <row r="500">
      <c r="D500" s="4"/>
      <c r="E500" s="4"/>
      <c r="F500" s="4"/>
      <c r="G500" s="4"/>
    </row>
    <row r="501">
      <c r="D501" s="4"/>
      <c r="E501" s="4"/>
      <c r="F501" s="4"/>
      <c r="G501" s="4"/>
    </row>
    <row r="502">
      <c r="D502" s="4"/>
      <c r="E502" s="4"/>
      <c r="F502" s="4"/>
      <c r="G502" s="4"/>
    </row>
    <row r="503">
      <c r="D503" s="4"/>
      <c r="E503" s="4"/>
      <c r="F503" s="4"/>
      <c r="G503" s="4"/>
    </row>
    <row r="504">
      <c r="D504" s="4"/>
      <c r="E504" s="4"/>
      <c r="F504" s="4"/>
      <c r="G504" s="4"/>
    </row>
    <row r="505">
      <c r="D505" s="4"/>
      <c r="E505" s="4"/>
      <c r="F505" s="4"/>
      <c r="G505" s="4"/>
    </row>
    <row r="506">
      <c r="D506" s="4"/>
      <c r="E506" s="4"/>
      <c r="F506" s="4"/>
      <c r="G506" s="4"/>
    </row>
    <row r="507">
      <c r="D507" s="4"/>
      <c r="E507" s="4"/>
      <c r="F507" s="4"/>
      <c r="G507" s="4"/>
    </row>
    <row r="508">
      <c r="D508" s="4"/>
      <c r="E508" s="4"/>
      <c r="F508" s="4"/>
      <c r="G508" s="4"/>
    </row>
    <row r="509">
      <c r="D509" s="4"/>
      <c r="E509" s="4"/>
      <c r="F509" s="4"/>
      <c r="G509" s="4"/>
    </row>
    <row r="510">
      <c r="D510" s="4"/>
      <c r="E510" s="4"/>
      <c r="F510" s="4"/>
      <c r="G510" s="4"/>
    </row>
    <row r="511">
      <c r="D511" s="4"/>
      <c r="E511" s="4"/>
      <c r="F511" s="4"/>
      <c r="G511" s="4"/>
    </row>
    <row r="512">
      <c r="D512" s="4"/>
      <c r="E512" s="4"/>
      <c r="F512" s="4"/>
      <c r="G512" s="4"/>
    </row>
    <row r="513">
      <c r="D513" s="4"/>
      <c r="E513" s="4"/>
      <c r="F513" s="4"/>
      <c r="G513" s="4"/>
    </row>
    <row r="514">
      <c r="D514" s="4"/>
      <c r="E514" s="4"/>
      <c r="F514" s="4"/>
      <c r="G514" s="4"/>
    </row>
    <row r="515">
      <c r="D515" s="4"/>
      <c r="E515" s="4"/>
      <c r="F515" s="4"/>
      <c r="G515" s="4"/>
    </row>
    <row r="516">
      <c r="D516" s="4"/>
      <c r="E516" s="4"/>
      <c r="F516" s="4"/>
      <c r="G516" s="4"/>
    </row>
    <row r="517">
      <c r="D517" s="4"/>
      <c r="E517" s="4"/>
      <c r="F517" s="4"/>
      <c r="G517" s="4"/>
    </row>
    <row r="518">
      <c r="D518" s="4"/>
      <c r="E518" s="4"/>
      <c r="F518" s="4"/>
      <c r="G518" s="4"/>
    </row>
    <row r="519">
      <c r="D519" s="4"/>
      <c r="E519" s="4"/>
      <c r="F519" s="4"/>
      <c r="G519" s="4"/>
    </row>
    <row r="520">
      <c r="D520" s="4"/>
      <c r="E520" s="4"/>
      <c r="F520" s="4"/>
      <c r="G520" s="4"/>
    </row>
    <row r="521">
      <c r="D521" s="4"/>
      <c r="E521" s="4"/>
      <c r="F521" s="4"/>
      <c r="G521" s="4"/>
    </row>
    <row r="522">
      <c r="D522" s="4"/>
      <c r="E522" s="4"/>
      <c r="F522" s="4"/>
      <c r="G522" s="4"/>
    </row>
    <row r="523">
      <c r="D523" s="4"/>
      <c r="E523" s="4"/>
      <c r="F523" s="4"/>
      <c r="G523" s="4"/>
    </row>
    <row r="524">
      <c r="D524" s="4"/>
      <c r="E524" s="4"/>
      <c r="F524" s="4"/>
      <c r="G524" s="4"/>
    </row>
    <row r="525">
      <c r="D525" s="4"/>
      <c r="E525" s="4"/>
      <c r="F525" s="4"/>
      <c r="G525" s="4"/>
    </row>
    <row r="526">
      <c r="D526" s="4"/>
      <c r="E526" s="4"/>
      <c r="F526" s="4"/>
      <c r="G526" s="4"/>
    </row>
    <row r="527">
      <c r="D527" s="4"/>
      <c r="E527" s="4"/>
      <c r="F527" s="4"/>
      <c r="G527" s="4"/>
    </row>
    <row r="528">
      <c r="D528" s="4"/>
      <c r="E528" s="4"/>
      <c r="F528" s="4"/>
      <c r="G528" s="4"/>
    </row>
    <row r="529">
      <c r="D529" s="4"/>
      <c r="E529" s="4"/>
      <c r="F529" s="4"/>
      <c r="G529" s="4"/>
    </row>
    <row r="530">
      <c r="D530" s="4"/>
      <c r="E530" s="4"/>
      <c r="F530" s="4"/>
      <c r="G530" s="4"/>
    </row>
    <row r="531">
      <c r="D531" s="4"/>
      <c r="E531" s="4"/>
      <c r="F531" s="4"/>
      <c r="G531" s="4"/>
    </row>
    <row r="532">
      <c r="D532" s="4"/>
      <c r="E532" s="4"/>
      <c r="F532" s="4"/>
      <c r="G532" s="4"/>
    </row>
    <row r="533">
      <c r="D533" s="4"/>
      <c r="E533" s="4"/>
      <c r="F533" s="4"/>
      <c r="G533" s="4"/>
    </row>
    <row r="534">
      <c r="D534" s="4"/>
      <c r="E534" s="4"/>
      <c r="F534" s="4"/>
      <c r="G534" s="4"/>
    </row>
    <row r="535">
      <c r="D535" s="4"/>
      <c r="E535" s="4"/>
      <c r="F535" s="4"/>
      <c r="G535" s="4"/>
    </row>
    <row r="536">
      <c r="D536" s="4"/>
      <c r="E536" s="4"/>
      <c r="F536" s="4"/>
      <c r="G536" s="4"/>
    </row>
    <row r="537">
      <c r="D537" s="4"/>
      <c r="E537" s="4"/>
      <c r="F537" s="4"/>
      <c r="G537" s="4"/>
    </row>
    <row r="538">
      <c r="D538" s="4"/>
      <c r="E538" s="4"/>
      <c r="F538" s="4"/>
      <c r="G538" s="4"/>
    </row>
    <row r="539">
      <c r="D539" s="4"/>
      <c r="E539" s="4"/>
      <c r="F539" s="4"/>
      <c r="G539" s="4"/>
    </row>
    <row r="540">
      <c r="D540" s="4"/>
      <c r="E540" s="4"/>
      <c r="F540" s="4"/>
      <c r="G540" s="4"/>
    </row>
    <row r="541">
      <c r="D541" s="4"/>
      <c r="E541" s="4"/>
      <c r="F541" s="4"/>
      <c r="G541" s="4"/>
    </row>
    <row r="542">
      <c r="D542" s="4"/>
      <c r="E542" s="4"/>
      <c r="F542" s="4"/>
      <c r="G542" s="4"/>
    </row>
    <row r="543">
      <c r="D543" s="4"/>
      <c r="E543" s="4"/>
      <c r="F543" s="4"/>
      <c r="G543" s="4"/>
    </row>
    <row r="544">
      <c r="D544" s="4"/>
      <c r="E544" s="4"/>
      <c r="F544" s="4"/>
      <c r="G544" s="4"/>
    </row>
    <row r="545">
      <c r="D545" s="4"/>
      <c r="E545" s="4"/>
      <c r="F545" s="4"/>
      <c r="G545" s="4"/>
    </row>
    <row r="546">
      <c r="D546" s="4"/>
      <c r="E546" s="4"/>
      <c r="F546" s="4"/>
      <c r="G546" s="4"/>
    </row>
    <row r="547">
      <c r="D547" s="4"/>
      <c r="E547" s="4"/>
      <c r="F547" s="4"/>
      <c r="G547" s="4"/>
    </row>
    <row r="548">
      <c r="D548" s="4"/>
      <c r="E548" s="4"/>
      <c r="F548" s="4"/>
      <c r="G548" s="4"/>
    </row>
    <row r="549">
      <c r="D549" s="4"/>
      <c r="E549" s="4"/>
      <c r="F549" s="4"/>
      <c r="G549" s="4"/>
    </row>
    <row r="550">
      <c r="D550" s="4"/>
      <c r="E550" s="4"/>
      <c r="F550" s="4"/>
      <c r="G550" s="4"/>
    </row>
    <row r="551">
      <c r="D551" s="4"/>
      <c r="E551" s="4"/>
      <c r="F551" s="4"/>
      <c r="G551" s="4"/>
    </row>
    <row r="552">
      <c r="D552" s="4"/>
      <c r="E552" s="4"/>
      <c r="F552" s="4"/>
      <c r="G552" s="4"/>
    </row>
    <row r="553">
      <c r="D553" s="4"/>
      <c r="E553" s="4"/>
      <c r="F553" s="4"/>
      <c r="G553" s="4"/>
    </row>
    <row r="554">
      <c r="D554" s="4"/>
      <c r="E554" s="4"/>
      <c r="F554" s="4"/>
      <c r="G554" s="4"/>
    </row>
    <row r="555">
      <c r="D555" s="4"/>
      <c r="E555" s="4"/>
      <c r="F555" s="4"/>
      <c r="G555" s="4"/>
    </row>
    <row r="556">
      <c r="D556" s="4"/>
      <c r="E556" s="4"/>
      <c r="F556" s="4"/>
      <c r="G556" s="4"/>
    </row>
    <row r="557">
      <c r="D557" s="4"/>
      <c r="E557" s="4"/>
      <c r="F557" s="4"/>
      <c r="G557" s="4"/>
    </row>
    <row r="558">
      <c r="D558" s="4"/>
      <c r="E558" s="4"/>
      <c r="F558" s="4"/>
      <c r="G558" s="4"/>
    </row>
    <row r="559">
      <c r="D559" s="4"/>
      <c r="E559" s="4"/>
      <c r="F559" s="4"/>
      <c r="G559" s="4"/>
    </row>
    <row r="560">
      <c r="D560" s="4"/>
      <c r="E560" s="4"/>
      <c r="F560" s="4"/>
      <c r="G560" s="4"/>
    </row>
    <row r="561">
      <c r="D561" s="4"/>
      <c r="E561" s="4"/>
      <c r="F561" s="4"/>
      <c r="G561" s="4"/>
    </row>
    <row r="562">
      <c r="D562" s="4"/>
      <c r="E562" s="4"/>
      <c r="F562" s="4"/>
      <c r="G562" s="4"/>
    </row>
    <row r="563">
      <c r="D563" s="4"/>
      <c r="E563" s="4"/>
      <c r="F563" s="4"/>
      <c r="G563" s="4"/>
    </row>
    <row r="564">
      <c r="D564" s="4"/>
      <c r="E564" s="4"/>
      <c r="F564" s="4"/>
      <c r="G564" s="4"/>
    </row>
    <row r="565">
      <c r="D565" s="4"/>
      <c r="E565" s="4"/>
      <c r="F565" s="4"/>
      <c r="G565" s="4"/>
    </row>
    <row r="566">
      <c r="D566" s="4"/>
      <c r="E566" s="4"/>
      <c r="F566" s="4"/>
      <c r="G566" s="4"/>
    </row>
    <row r="567">
      <c r="D567" s="4"/>
      <c r="E567" s="4"/>
      <c r="F567" s="4"/>
      <c r="G567" s="4"/>
    </row>
    <row r="568">
      <c r="D568" s="4"/>
      <c r="E568" s="4"/>
      <c r="F568" s="4"/>
      <c r="G568" s="4"/>
    </row>
    <row r="569">
      <c r="D569" s="4"/>
      <c r="E569" s="4"/>
      <c r="F569" s="4"/>
      <c r="G569" s="4"/>
    </row>
    <row r="570">
      <c r="D570" s="4"/>
      <c r="E570" s="4"/>
      <c r="F570" s="4"/>
      <c r="G570" s="4"/>
    </row>
    <row r="571">
      <c r="D571" s="4"/>
      <c r="E571" s="4"/>
      <c r="F571" s="4"/>
      <c r="G571" s="4"/>
    </row>
    <row r="572">
      <c r="D572" s="4"/>
      <c r="E572" s="4"/>
      <c r="F572" s="4"/>
      <c r="G572" s="4"/>
    </row>
    <row r="573">
      <c r="D573" s="4"/>
      <c r="E573" s="4"/>
      <c r="F573" s="4"/>
      <c r="G573" s="4"/>
    </row>
    <row r="574">
      <c r="D574" s="4"/>
      <c r="E574" s="4"/>
      <c r="F574" s="4"/>
      <c r="G574" s="4"/>
    </row>
    <row r="575">
      <c r="D575" s="4"/>
      <c r="E575" s="4"/>
      <c r="F575" s="4"/>
      <c r="G575" s="4"/>
    </row>
    <row r="576">
      <c r="D576" s="4"/>
      <c r="E576" s="4"/>
      <c r="F576" s="4"/>
      <c r="G576" s="4"/>
    </row>
    <row r="577">
      <c r="D577" s="4"/>
      <c r="E577" s="4"/>
      <c r="F577" s="4"/>
      <c r="G577" s="4"/>
    </row>
    <row r="578">
      <c r="D578" s="4"/>
      <c r="E578" s="4"/>
      <c r="F578" s="4"/>
      <c r="G578" s="4"/>
    </row>
    <row r="579">
      <c r="D579" s="4"/>
      <c r="E579" s="4"/>
      <c r="F579" s="4"/>
      <c r="G579" s="4"/>
    </row>
    <row r="580">
      <c r="D580" s="4"/>
      <c r="E580" s="4"/>
      <c r="F580" s="4"/>
      <c r="G580" s="4"/>
    </row>
    <row r="581">
      <c r="D581" s="4"/>
      <c r="E581" s="4"/>
      <c r="F581" s="4"/>
      <c r="G581" s="4"/>
    </row>
    <row r="582">
      <c r="D582" s="4"/>
      <c r="E582" s="4"/>
      <c r="F582" s="4"/>
      <c r="G582" s="4"/>
    </row>
    <row r="583">
      <c r="D583" s="4"/>
      <c r="E583" s="4"/>
      <c r="F583" s="4"/>
      <c r="G583" s="4"/>
    </row>
    <row r="584">
      <c r="D584" s="4"/>
      <c r="E584" s="4"/>
      <c r="F584" s="4"/>
      <c r="G584" s="4"/>
    </row>
    <row r="585">
      <c r="D585" s="4"/>
      <c r="E585" s="4"/>
      <c r="F585" s="4"/>
      <c r="G585" s="4"/>
    </row>
    <row r="586">
      <c r="D586" s="4"/>
      <c r="E586" s="4"/>
      <c r="F586" s="4"/>
      <c r="G586" s="4"/>
    </row>
    <row r="587">
      <c r="D587" s="4"/>
      <c r="E587" s="4"/>
      <c r="F587" s="4"/>
      <c r="G587" s="4"/>
    </row>
    <row r="588">
      <c r="D588" s="4"/>
      <c r="E588" s="4"/>
      <c r="F588" s="4"/>
      <c r="G588" s="4"/>
    </row>
    <row r="589">
      <c r="D589" s="4"/>
      <c r="E589" s="4"/>
      <c r="F589" s="4"/>
      <c r="G589" s="4"/>
    </row>
    <row r="590">
      <c r="D590" s="4"/>
      <c r="E590" s="4"/>
      <c r="F590" s="4"/>
      <c r="G590" s="4"/>
    </row>
    <row r="591">
      <c r="D591" s="4"/>
      <c r="E591" s="4"/>
      <c r="F591" s="4"/>
      <c r="G591" s="4"/>
    </row>
    <row r="592">
      <c r="D592" s="4"/>
      <c r="E592" s="4"/>
      <c r="F592" s="4"/>
      <c r="G592" s="4"/>
    </row>
    <row r="593">
      <c r="D593" s="4"/>
      <c r="E593" s="4"/>
      <c r="F593" s="4"/>
      <c r="G593" s="4"/>
    </row>
    <row r="594">
      <c r="D594" s="4"/>
      <c r="E594" s="4"/>
      <c r="F594" s="4"/>
      <c r="G594" s="4"/>
    </row>
    <row r="595">
      <c r="D595" s="4"/>
      <c r="E595" s="4"/>
      <c r="F595" s="4"/>
      <c r="G595" s="4"/>
    </row>
    <row r="596">
      <c r="D596" s="4"/>
      <c r="E596" s="4"/>
      <c r="F596" s="4"/>
      <c r="G596" s="4"/>
    </row>
    <row r="597">
      <c r="D597" s="4"/>
      <c r="E597" s="4"/>
      <c r="F597" s="4"/>
      <c r="G597" s="4"/>
    </row>
    <row r="598">
      <c r="D598" s="4"/>
      <c r="E598" s="4"/>
      <c r="F598" s="4"/>
      <c r="G598" s="4"/>
    </row>
    <row r="599">
      <c r="D599" s="4"/>
      <c r="E599" s="4"/>
      <c r="F599" s="4"/>
      <c r="G599" s="4"/>
    </row>
    <row r="600">
      <c r="D600" s="4"/>
      <c r="E600" s="4"/>
      <c r="F600" s="4"/>
      <c r="G600" s="4"/>
    </row>
    <row r="601">
      <c r="D601" s="4"/>
      <c r="E601" s="4"/>
      <c r="F601" s="4"/>
      <c r="G601" s="4"/>
    </row>
    <row r="602">
      <c r="D602" s="4"/>
      <c r="E602" s="4"/>
      <c r="F602" s="4"/>
      <c r="G602" s="4"/>
    </row>
    <row r="603">
      <c r="D603" s="4"/>
      <c r="E603" s="4"/>
      <c r="F603" s="4"/>
      <c r="G603" s="4"/>
    </row>
    <row r="604">
      <c r="D604" s="4"/>
      <c r="E604" s="4"/>
      <c r="F604" s="4"/>
      <c r="G604" s="4"/>
    </row>
    <row r="605">
      <c r="D605" s="4"/>
      <c r="E605" s="4"/>
      <c r="F605" s="4"/>
      <c r="G605" s="4"/>
    </row>
    <row r="606">
      <c r="D606" s="4"/>
      <c r="E606" s="4"/>
      <c r="F606" s="4"/>
      <c r="G606" s="4"/>
    </row>
    <row r="607">
      <c r="D607" s="4"/>
      <c r="E607" s="4"/>
      <c r="F607" s="4"/>
      <c r="G607" s="4"/>
    </row>
    <row r="608">
      <c r="D608" s="4"/>
      <c r="E608" s="4"/>
      <c r="F608" s="4"/>
      <c r="G608" s="4"/>
    </row>
    <row r="609">
      <c r="D609" s="4"/>
      <c r="E609" s="4"/>
      <c r="F609" s="4"/>
      <c r="G609" s="4"/>
    </row>
    <row r="610">
      <c r="D610" s="4"/>
      <c r="E610" s="4"/>
      <c r="F610" s="4"/>
      <c r="G610" s="4"/>
    </row>
    <row r="611">
      <c r="D611" s="4"/>
      <c r="E611" s="4"/>
      <c r="F611" s="4"/>
      <c r="G611" s="4"/>
    </row>
    <row r="612">
      <c r="D612" s="4"/>
      <c r="E612" s="4"/>
      <c r="F612" s="4"/>
      <c r="G612" s="4"/>
    </row>
    <row r="613">
      <c r="D613" s="4"/>
      <c r="E613" s="4"/>
      <c r="F613" s="4"/>
      <c r="G613" s="4"/>
    </row>
    <row r="614">
      <c r="D614" s="4"/>
      <c r="E614" s="4"/>
      <c r="F614" s="4"/>
      <c r="G614" s="4"/>
    </row>
    <row r="615">
      <c r="D615" s="4"/>
      <c r="E615" s="4"/>
      <c r="F615" s="4"/>
      <c r="G615" s="4"/>
    </row>
    <row r="616">
      <c r="D616" s="4"/>
      <c r="E616" s="4"/>
      <c r="F616" s="4"/>
      <c r="G616" s="4"/>
    </row>
    <row r="617">
      <c r="D617" s="4"/>
      <c r="E617" s="4"/>
      <c r="F617" s="4"/>
      <c r="G617" s="4"/>
    </row>
    <row r="618">
      <c r="D618" s="4"/>
      <c r="E618" s="4"/>
      <c r="F618" s="4"/>
      <c r="G618" s="4"/>
    </row>
    <row r="619">
      <c r="D619" s="4"/>
      <c r="E619" s="4"/>
      <c r="F619" s="4"/>
      <c r="G619" s="4"/>
    </row>
    <row r="620">
      <c r="D620" s="4"/>
      <c r="E620" s="4"/>
      <c r="F620" s="4"/>
      <c r="G620" s="4"/>
    </row>
    <row r="621">
      <c r="D621" s="4"/>
      <c r="E621" s="4"/>
      <c r="F621" s="4"/>
      <c r="G621" s="4"/>
    </row>
    <row r="622">
      <c r="D622" s="4"/>
      <c r="E622" s="4"/>
      <c r="F622" s="4"/>
      <c r="G622" s="4"/>
    </row>
    <row r="623">
      <c r="D623" s="4"/>
      <c r="E623" s="4"/>
      <c r="F623" s="4"/>
      <c r="G623" s="4"/>
    </row>
    <row r="624">
      <c r="D624" s="4"/>
      <c r="E624" s="4"/>
      <c r="F624" s="4"/>
      <c r="G624" s="4"/>
    </row>
    <row r="625">
      <c r="D625" s="4"/>
      <c r="E625" s="4"/>
      <c r="F625" s="4"/>
      <c r="G625" s="4"/>
    </row>
    <row r="626">
      <c r="D626" s="4"/>
      <c r="E626" s="4"/>
      <c r="F626" s="4"/>
      <c r="G626" s="4"/>
    </row>
    <row r="627">
      <c r="D627" s="4"/>
      <c r="E627" s="4"/>
      <c r="F627" s="4"/>
      <c r="G627" s="4"/>
    </row>
    <row r="628">
      <c r="D628" s="4"/>
      <c r="E628" s="4"/>
      <c r="F628" s="4"/>
      <c r="G628" s="4"/>
    </row>
    <row r="629">
      <c r="D629" s="4"/>
      <c r="E629" s="4"/>
      <c r="F629" s="4"/>
      <c r="G629" s="4"/>
    </row>
    <row r="630">
      <c r="D630" s="4"/>
      <c r="E630" s="4"/>
      <c r="F630" s="4"/>
      <c r="G630" s="4"/>
    </row>
    <row r="631">
      <c r="D631" s="4"/>
      <c r="E631" s="4"/>
      <c r="F631" s="4"/>
      <c r="G631" s="4"/>
    </row>
    <row r="632">
      <c r="D632" s="4"/>
      <c r="E632" s="4"/>
      <c r="F632" s="4"/>
      <c r="G632" s="4"/>
    </row>
    <row r="633">
      <c r="D633" s="4"/>
      <c r="E633" s="4"/>
      <c r="F633" s="4"/>
      <c r="G633" s="4"/>
    </row>
    <row r="634">
      <c r="D634" s="4"/>
      <c r="E634" s="4"/>
      <c r="F634" s="4"/>
      <c r="G634" s="4"/>
    </row>
    <row r="635">
      <c r="D635" s="4"/>
      <c r="E635" s="4"/>
      <c r="F635" s="4"/>
      <c r="G635" s="4"/>
    </row>
    <row r="636">
      <c r="D636" s="4"/>
      <c r="E636" s="4"/>
      <c r="F636" s="4"/>
      <c r="G636" s="4"/>
    </row>
    <row r="637">
      <c r="D637" s="4"/>
      <c r="E637" s="4"/>
      <c r="F637" s="4"/>
      <c r="G637" s="4"/>
    </row>
    <row r="638">
      <c r="D638" s="4"/>
      <c r="E638" s="4"/>
      <c r="F638" s="4"/>
      <c r="G638" s="4"/>
    </row>
    <row r="639">
      <c r="D639" s="4"/>
      <c r="E639" s="4"/>
      <c r="F639" s="4"/>
      <c r="G639" s="4"/>
    </row>
    <row r="640">
      <c r="D640" s="4"/>
      <c r="E640" s="4"/>
      <c r="F640" s="4"/>
      <c r="G640" s="4"/>
    </row>
    <row r="641">
      <c r="D641" s="4"/>
      <c r="E641" s="4"/>
      <c r="F641" s="4"/>
      <c r="G641" s="4"/>
    </row>
    <row r="642">
      <c r="D642" s="4"/>
      <c r="E642" s="4"/>
      <c r="F642" s="4"/>
      <c r="G642" s="4"/>
    </row>
    <row r="643">
      <c r="D643" s="4"/>
      <c r="E643" s="4"/>
      <c r="F643" s="4"/>
      <c r="G643" s="4"/>
    </row>
    <row r="644">
      <c r="D644" s="4"/>
      <c r="E644" s="4"/>
      <c r="F644" s="4"/>
      <c r="G644" s="4"/>
    </row>
    <row r="645">
      <c r="D645" s="4"/>
      <c r="E645" s="4"/>
      <c r="F645" s="4"/>
      <c r="G645" s="4"/>
    </row>
    <row r="646">
      <c r="D646" s="4"/>
      <c r="E646" s="4"/>
      <c r="F646" s="4"/>
      <c r="G646" s="4"/>
    </row>
    <row r="647">
      <c r="D647" s="4"/>
      <c r="E647" s="4"/>
      <c r="F647" s="4"/>
      <c r="G647" s="4"/>
    </row>
    <row r="648">
      <c r="D648" s="4"/>
      <c r="E648" s="4"/>
      <c r="F648" s="4"/>
      <c r="G648" s="4"/>
    </row>
    <row r="649">
      <c r="D649" s="4"/>
      <c r="E649" s="4"/>
      <c r="F649" s="4"/>
      <c r="G649" s="4"/>
    </row>
    <row r="650">
      <c r="D650" s="4"/>
      <c r="E650" s="4"/>
      <c r="F650" s="4"/>
      <c r="G650" s="4"/>
    </row>
    <row r="651">
      <c r="D651" s="4"/>
      <c r="E651" s="4"/>
      <c r="F651" s="4"/>
      <c r="G651" s="4"/>
    </row>
    <row r="652">
      <c r="D652" s="4"/>
      <c r="E652" s="4"/>
      <c r="F652" s="4"/>
      <c r="G652" s="4"/>
    </row>
    <row r="653">
      <c r="D653" s="4"/>
      <c r="E653" s="4"/>
      <c r="F653" s="4"/>
      <c r="G653" s="4"/>
    </row>
    <row r="654">
      <c r="D654" s="4"/>
      <c r="E654" s="4"/>
      <c r="F654" s="4"/>
      <c r="G654" s="4"/>
    </row>
    <row r="655">
      <c r="D655" s="4"/>
      <c r="E655" s="4"/>
      <c r="F655" s="4"/>
      <c r="G655" s="4"/>
    </row>
    <row r="656">
      <c r="D656" s="4"/>
      <c r="E656" s="4"/>
      <c r="F656" s="4"/>
      <c r="G656" s="4"/>
    </row>
    <row r="657">
      <c r="D657" s="4"/>
      <c r="E657" s="4"/>
      <c r="F657" s="4"/>
      <c r="G657" s="4"/>
    </row>
    <row r="658">
      <c r="D658" s="4"/>
      <c r="E658" s="4"/>
      <c r="F658" s="4"/>
      <c r="G658" s="4"/>
    </row>
    <row r="659">
      <c r="D659" s="4"/>
      <c r="E659" s="4"/>
      <c r="F659" s="4"/>
      <c r="G659" s="4"/>
    </row>
    <row r="660">
      <c r="D660" s="4"/>
      <c r="E660" s="4"/>
      <c r="F660" s="4"/>
      <c r="G660" s="4"/>
    </row>
    <row r="661">
      <c r="D661" s="4"/>
      <c r="E661" s="4"/>
      <c r="F661" s="4"/>
      <c r="G661" s="4"/>
    </row>
    <row r="662">
      <c r="D662" s="4"/>
      <c r="E662" s="4"/>
      <c r="F662" s="4"/>
      <c r="G662" s="4"/>
    </row>
    <row r="663">
      <c r="D663" s="4"/>
      <c r="E663" s="4"/>
      <c r="F663" s="4"/>
      <c r="G663" s="4"/>
    </row>
    <row r="664">
      <c r="D664" s="4"/>
      <c r="E664" s="4"/>
      <c r="F664" s="4"/>
      <c r="G664" s="4"/>
    </row>
    <row r="665">
      <c r="D665" s="4"/>
      <c r="E665" s="4"/>
      <c r="F665" s="4"/>
      <c r="G665" s="4"/>
    </row>
    <row r="666">
      <c r="D666" s="4"/>
      <c r="E666" s="4"/>
      <c r="F666" s="4"/>
      <c r="G666" s="4"/>
    </row>
    <row r="667">
      <c r="D667" s="4"/>
      <c r="E667" s="4"/>
      <c r="F667" s="4"/>
      <c r="G667" s="4"/>
    </row>
    <row r="668">
      <c r="D668" s="4"/>
      <c r="E668" s="4"/>
      <c r="F668" s="4"/>
      <c r="G668" s="4"/>
    </row>
    <row r="669">
      <c r="D669" s="4"/>
      <c r="E669" s="4"/>
      <c r="F669" s="4"/>
      <c r="G669" s="4"/>
    </row>
    <row r="670">
      <c r="D670" s="4"/>
      <c r="E670" s="4"/>
      <c r="F670" s="4"/>
      <c r="G670" s="4"/>
    </row>
    <row r="671">
      <c r="D671" s="4"/>
      <c r="E671" s="4"/>
      <c r="F671" s="4"/>
      <c r="G671" s="4"/>
    </row>
    <row r="672">
      <c r="D672" s="4"/>
      <c r="E672" s="4"/>
      <c r="F672" s="4"/>
      <c r="G672" s="4"/>
    </row>
    <row r="673">
      <c r="D673" s="4"/>
      <c r="E673" s="4"/>
      <c r="F673" s="4"/>
      <c r="G673" s="4"/>
    </row>
    <row r="674">
      <c r="D674" s="4"/>
      <c r="E674" s="4"/>
      <c r="F674" s="4"/>
      <c r="G674" s="4"/>
    </row>
    <row r="675">
      <c r="D675" s="4"/>
      <c r="E675" s="4"/>
      <c r="F675" s="4"/>
      <c r="G675" s="4"/>
    </row>
    <row r="676">
      <c r="D676" s="4"/>
      <c r="E676" s="4"/>
      <c r="F676" s="4"/>
      <c r="G676" s="4"/>
    </row>
    <row r="677">
      <c r="D677" s="4"/>
      <c r="E677" s="4"/>
      <c r="F677" s="4"/>
      <c r="G677" s="4"/>
    </row>
    <row r="678">
      <c r="D678" s="4"/>
      <c r="E678" s="4"/>
      <c r="F678" s="4"/>
      <c r="G678" s="4"/>
    </row>
    <row r="679">
      <c r="D679" s="4"/>
      <c r="E679" s="4"/>
      <c r="F679" s="4"/>
      <c r="G679" s="4"/>
    </row>
    <row r="680">
      <c r="D680" s="4"/>
      <c r="E680" s="4"/>
      <c r="F680" s="4"/>
      <c r="G680" s="4"/>
    </row>
    <row r="681">
      <c r="D681" s="4"/>
      <c r="E681" s="4"/>
      <c r="F681" s="4"/>
      <c r="G681" s="4"/>
    </row>
    <row r="682">
      <c r="D682" s="4"/>
      <c r="E682" s="4"/>
      <c r="F682" s="4"/>
      <c r="G682" s="4"/>
    </row>
    <row r="683">
      <c r="D683" s="4"/>
      <c r="E683" s="4"/>
      <c r="F683" s="4"/>
      <c r="G683" s="4"/>
    </row>
    <row r="684">
      <c r="D684" s="4"/>
      <c r="E684" s="4"/>
      <c r="F684" s="4"/>
      <c r="G684" s="4"/>
    </row>
    <row r="685">
      <c r="D685" s="4"/>
      <c r="E685" s="4"/>
      <c r="F685" s="4"/>
      <c r="G685" s="4"/>
    </row>
    <row r="686">
      <c r="D686" s="4"/>
      <c r="E686" s="4"/>
      <c r="F686" s="4"/>
      <c r="G686" s="4"/>
    </row>
    <row r="687">
      <c r="D687" s="4"/>
      <c r="E687" s="4"/>
      <c r="F687" s="4"/>
      <c r="G687" s="4"/>
    </row>
    <row r="688">
      <c r="D688" s="4"/>
      <c r="E688" s="4"/>
      <c r="F688" s="4"/>
      <c r="G688" s="4"/>
    </row>
    <row r="689">
      <c r="D689" s="4"/>
      <c r="E689" s="4"/>
      <c r="F689" s="4"/>
      <c r="G689" s="4"/>
    </row>
    <row r="690">
      <c r="D690" s="4"/>
      <c r="E690" s="4"/>
      <c r="F690" s="4"/>
      <c r="G690" s="4"/>
    </row>
    <row r="691">
      <c r="D691" s="4"/>
      <c r="E691" s="4"/>
      <c r="F691" s="4"/>
      <c r="G691" s="4"/>
    </row>
    <row r="692">
      <c r="D692" s="4"/>
      <c r="E692" s="4"/>
      <c r="F692" s="4"/>
      <c r="G692" s="4"/>
    </row>
    <row r="693">
      <c r="D693" s="4"/>
      <c r="E693" s="4"/>
      <c r="F693" s="4"/>
      <c r="G693" s="4"/>
    </row>
    <row r="694">
      <c r="D694" s="4"/>
      <c r="E694" s="4"/>
      <c r="F694" s="4"/>
      <c r="G694" s="4"/>
    </row>
    <row r="695">
      <c r="D695" s="4"/>
      <c r="E695" s="4"/>
      <c r="F695" s="4"/>
      <c r="G695" s="4"/>
    </row>
    <row r="696">
      <c r="D696" s="4"/>
      <c r="E696" s="4"/>
      <c r="F696" s="4"/>
      <c r="G696" s="4"/>
    </row>
    <row r="697">
      <c r="D697" s="4"/>
      <c r="E697" s="4"/>
      <c r="F697" s="4"/>
      <c r="G697" s="4"/>
    </row>
    <row r="698">
      <c r="D698" s="4"/>
      <c r="E698" s="4"/>
      <c r="F698" s="4"/>
      <c r="G698" s="4"/>
    </row>
    <row r="699">
      <c r="D699" s="4"/>
      <c r="E699" s="4"/>
      <c r="F699" s="4"/>
      <c r="G699" s="4"/>
    </row>
    <row r="700">
      <c r="D700" s="4"/>
      <c r="E700" s="4"/>
      <c r="F700" s="4"/>
      <c r="G700" s="4"/>
    </row>
    <row r="701">
      <c r="D701" s="4"/>
      <c r="E701" s="4"/>
      <c r="F701" s="4"/>
      <c r="G701" s="4"/>
    </row>
    <row r="702">
      <c r="D702" s="4"/>
      <c r="E702" s="4"/>
      <c r="F702" s="4"/>
      <c r="G702" s="4"/>
    </row>
    <row r="703">
      <c r="D703" s="4"/>
      <c r="E703" s="4"/>
      <c r="F703" s="4"/>
      <c r="G703" s="4"/>
    </row>
    <row r="704">
      <c r="D704" s="4"/>
      <c r="E704" s="4"/>
      <c r="F704" s="4"/>
      <c r="G704" s="4"/>
    </row>
    <row r="705">
      <c r="D705" s="4"/>
      <c r="E705" s="4"/>
      <c r="F705" s="4"/>
      <c r="G705" s="4"/>
    </row>
    <row r="706">
      <c r="D706" s="4"/>
      <c r="E706" s="4"/>
      <c r="F706" s="4"/>
      <c r="G706" s="4"/>
    </row>
    <row r="707">
      <c r="D707" s="4"/>
      <c r="E707" s="4"/>
      <c r="F707" s="4"/>
      <c r="G707" s="4"/>
    </row>
    <row r="708">
      <c r="D708" s="4"/>
      <c r="E708" s="4"/>
      <c r="F708" s="4"/>
      <c r="G708" s="4"/>
    </row>
    <row r="709">
      <c r="D709" s="4"/>
      <c r="E709" s="4"/>
      <c r="F709" s="4"/>
      <c r="G709" s="4"/>
    </row>
    <row r="710">
      <c r="D710" s="4"/>
      <c r="E710" s="4"/>
      <c r="F710" s="4"/>
      <c r="G710" s="4"/>
    </row>
    <row r="711">
      <c r="D711" s="4"/>
      <c r="E711" s="4"/>
      <c r="F711" s="4"/>
      <c r="G711" s="4"/>
    </row>
    <row r="712">
      <c r="D712" s="4"/>
      <c r="E712" s="4"/>
      <c r="F712" s="4"/>
      <c r="G712" s="4"/>
    </row>
    <row r="713">
      <c r="D713" s="4"/>
      <c r="E713" s="4"/>
      <c r="F713" s="4"/>
      <c r="G713" s="4"/>
    </row>
    <row r="714">
      <c r="D714" s="4"/>
      <c r="E714" s="4"/>
      <c r="F714" s="4"/>
      <c r="G714" s="4"/>
    </row>
    <row r="715">
      <c r="D715" s="4"/>
      <c r="E715" s="4"/>
      <c r="F715" s="4"/>
      <c r="G715" s="4"/>
    </row>
    <row r="716">
      <c r="D716" s="4"/>
      <c r="E716" s="4"/>
      <c r="F716" s="4"/>
      <c r="G716" s="4"/>
    </row>
    <row r="717">
      <c r="D717" s="4"/>
      <c r="E717" s="4"/>
      <c r="F717" s="4"/>
      <c r="G717" s="4"/>
    </row>
    <row r="718">
      <c r="D718" s="4"/>
      <c r="E718" s="4"/>
      <c r="F718" s="4"/>
      <c r="G718" s="4"/>
    </row>
    <row r="719">
      <c r="D719" s="4"/>
      <c r="E719" s="4"/>
      <c r="F719" s="4"/>
      <c r="G719" s="4"/>
    </row>
    <row r="720">
      <c r="D720" s="4"/>
      <c r="E720" s="4"/>
      <c r="F720" s="4"/>
      <c r="G720" s="4"/>
    </row>
    <row r="721">
      <c r="D721" s="4"/>
      <c r="E721" s="4"/>
      <c r="F721" s="4"/>
      <c r="G721" s="4"/>
    </row>
    <row r="722">
      <c r="D722" s="4"/>
      <c r="E722" s="4"/>
      <c r="F722" s="4"/>
      <c r="G722" s="4"/>
    </row>
    <row r="723">
      <c r="D723" s="4"/>
      <c r="E723" s="4"/>
      <c r="F723" s="4"/>
      <c r="G723" s="4"/>
    </row>
    <row r="724">
      <c r="D724" s="4"/>
      <c r="E724" s="4"/>
      <c r="F724" s="4"/>
      <c r="G724" s="4"/>
    </row>
    <row r="725">
      <c r="D725" s="4"/>
      <c r="E725" s="4"/>
      <c r="F725" s="4"/>
      <c r="G725" s="4"/>
    </row>
    <row r="726">
      <c r="D726" s="4"/>
      <c r="E726" s="4"/>
      <c r="F726" s="4"/>
      <c r="G726" s="4"/>
    </row>
    <row r="727">
      <c r="D727" s="4"/>
      <c r="E727" s="4"/>
      <c r="F727" s="4"/>
      <c r="G727" s="4"/>
    </row>
    <row r="728">
      <c r="D728" s="4"/>
      <c r="E728" s="4"/>
      <c r="F728" s="4"/>
      <c r="G728" s="4"/>
    </row>
    <row r="729">
      <c r="D729" s="4"/>
      <c r="E729" s="4"/>
      <c r="F729" s="4"/>
      <c r="G729" s="4"/>
    </row>
    <row r="730">
      <c r="D730" s="4"/>
      <c r="E730" s="4"/>
      <c r="F730" s="4"/>
      <c r="G730" s="4"/>
    </row>
    <row r="731">
      <c r="D731" s="4"/>
      <c r="E731" s="4"/>
      <c r="F731" s="4"/>
      <c r="G731" s="4"/>
    </row>
    <row r="732">
      <c r="D732" s="4"/>
      <c r="E732" s="4"/>
      <c r="F732" s="4"/>
      <c r="G732" s="4"/>
    </row>
    <row r="733">
      <c r="D733" s="4"/>
      <c r="E733" s="4"/>
      <c r="F733" s="4"/>
      <c r="G733" s="4"/>
    </row>
    <row r="734">
      <c r="D734" s="4"/>
      <c r="E734" s="4"/>
      <c r="F734" s="4"/>
      <c r="G734" s="4"/>
    </row>
    <row r="735">
      <c r="D735" s="4"/>
      <c r="E735" s="4"/>
      <c r="F735" s="4"/>
      <c r="G735" s="4"/>
    </row>
    <row r="736">
      <c r="D736" s="4"/>
      <c r="E736" s="4"/>
      <c r="F736" s="4"/>
      <c r="G736" s="4"/>
    </row>
    <row r="737">
      <c r="D737" s="4"/>
      <c r="E737" s="4"/>
      <c r="F737" s="4"/>
      <c r="G737" s="4"/>
    </row>
    <row r="738">
      <c r="D738" s="4"/>
      <c r="E738" s="4"/>
      <c r="F738" s="4"/>
      <c r="G738" s="4"/>
    </row>
    <row r="739">
      <c r="D739" s="4"/>
      <c r="E739" s="4"/>
      <c r="F739" s="4"/>
      <c r="G739" s="4"/>
    </row>
    <row r="740">
      <c r="D740" s="4"/>
      <c r="E740" s="4"/>
      <c r="F740" s="4"/>
      <c r="G740" s="4"/>
    </row>
    <row r="741">
      <c r="D741" s="4"/>
      <c r="E741" s="4"/>
      <c r="F741" s="4"/>
      <c r="G741" s="4"/>
    </row>
    <row r="742">
      <c r="D742" s="4"/>
      <c r="E742" s="4"/>
      <c r="F742" s="4"/>
      <c r="G742" s="4"/>
    </row>
    <row r="743">
      <c r="D743" s="4"/>
      <c r="E743" s="4"/>
      <c r="F743" s="4"/>
      <c r="G743" s="4"/>
    </row>
    <row r="744">
      <c r="D744" s="4"/>
      <c r="E744" s="4"/>
      <c r="F744" s="4"/>
      <c r="G744" s="4"/>
    </row>
    <row r="745">
      <c r="D745" s="4"/>
      <c r="E745" s="4"/>
      <c r="F745" s="4"/>
      <c r="G745" s="4"/>
    </row>
    <row r="746">
      <c r="D746" s="4"/>
      <c r="E746" s="4"/>
      <c r="F746" s="4"/>
      <c r="G746" s="4"/>
    </row>
    <row r="747">
      <c r="D747" s="4"/>
      <c r="E747" s="4"/>
      <c r="F747" s="4"/>
      <c r="G747" s="4"/>
    </row>
    <row r="748">
      <c r="D748" s="4"/>
      <c r="E748" s="4"/>
      <c r="F748" s="4"/>
      <c r="G748" s="4"/>
    </row>
    <row r="749">
      <c r="D749" s="4"/>
      <c r="E749" s="4"/>
      <c r="F749" s="4"/>
      <c r="G749" s="4"/>
    </row>
    <row r="750">
      <c r="D750" s="4"/>
      <c r="E750" s="4"/>
      <c r="F750" s="4"/>
      <c r="G750" s="4"/>
    </row>
    <row r="751">
      <c r="D751" s="4"/>
      <c r="E751" s="4"/>
      <c r="F751" s="4"/>
      <c r="G751" s="4"/>
    </row>
    <row r="752">
      <c r="D752" s="4"/>
      <c r="E752" s="4"/>
      <c r="F752" s="4"/>
      <c r="G752" s="4"/>
    </row>
    <row r="753">
      <c r="D753" s="4"/>
      <c r="E753" s="4"/>
      <c r="F753" s="4"/>
      <c r="G753" s="4"/>
    </row>
    <row r="754">
      <c r="D754" s="4"/>
      <c r="E754" s="4"/>
      <c r="F754" s="4"/>
      <c r="G754" s="4"/>
    </row>
    <row r="755">
      <c r="D755" s="4"/>
      <c r="E755" s="4"/>
      <c r="F755" s="4"/>
      <c r="G755" s="4"/>
    </row>
    <row r="756">
      <c r="D756" s="4"/>
      <c r="E756" s="4"/>
      <c r="F756" s="4"/>
      <c r="G756" s="4"/>
    </row>
    <row r="757">
      <c r="D757" s="4"/>
      <c r="E757" s="4"/>
      <c r="F757" s="4"/>
      <c r="G757" s="4"/>
    </row>
    <row r="758">
      <c r="D758" s="4"/>
      <c r="E758" s="4"/>
      <c r="F758" s="4"/>
      <c r="G758" s="4"/>
    </row>
    <row r="759">
      <c r="D759" s="4"/>
      <c r="E759" s="4"/>
      <c r="F759" s="4"/>
      <c r="G759" s="4"/>
    </row>
    <row r="760">
      <c r="D760" s="4"/>
      <c r="E760" s="4"/>
      <c r="F760" s="4"/>
      <c r="G760" s="4"/>
    </row>
    <row r="761">
      <c r="D761" s="4"/>
      <c r="E761" s="4"/>
      <c r="F761" s="4"/>
      <c r="G761" s="4"/>
    </row>
    <row r="762">
      <c r="D762" s="4"/>
      <c r="E762" s="4"/>
      <c r="F762" s="4"/>
      <c r="G762" s="4"/>
    </row>
    <row r="763">
      <c r="D763" s="4"/>
      <c r="E763" s="4"/>
      <c r="F763" s="4"/>
      <c r="G763" s="4"/>
    </row>
    <row r="764">
      <c r="D764" s="4"/>
      <c r="E764" s="4"/>
      <c r="F764" s="4"/>
      <c r="G764" s="4"/>
    </row>
    <row r="765">
      <c r="D765" s="4"/>
      <c r="E765" s="4"/>
      <c r="F765" s="4"/>
      <c r="G765" s="4"/>
    </row>
    <row r="766">
      <c r="D766" s="4"/>
      <c r="E766" s="4"/>
      <c r="F766" s="4"/>
      <c r="G766" s="4"/>
    </row>
    <row r="767">
      <c r="D767" s="4"/>
      <c r="E767" s="4"/>
      <c r="F767" s="4"/>
      <c r="G767" s="4"/>
    </row>
    <row r="768">
      <c r="D768" s="4"/>
      <c r="E768" s="4"/>
      <c r="F768" s="4"/>
      <c r="G768" s="4"/>
    </row>
    <row r="769">
      <c r="D769" s="4"/>
      <c r="E769" s="4"/>
      <c r="F769" s="4"/>
      <c r="G769" s="4"/>
    </row>
    <row r="770">
      <c r="D770" s="4"/>
      <c r="E770" s="4"/>
      <c r="F770" s="4"/>
      <c r="G770" s="4"/>
    </row>
    <row r="771">
      <c r="D771" s="4"/>
      <c r="E771" s="4"/>
      <c r="F771" s="4"/>
      <c r="G771" s="4"/>
    </row>
    <row r="772">
      <c r="D772" s="4"/>
      <c r="E772" s="4"/>
      <c r="F772" s="4"/>
      <c r="G772" s="4"/>
    </row>
    <row r="773">
      <c r="D773" s="4"/>
      <c r="E773" s="4"/>
      <c r="F773" s="4"/>
      <c r="G773" s="4"/>
    </row>
    <row r="774">
      <c r="D774" s="4"/>
      <c r="E774" s="4"/>
      <c r="F774" s="4"/>
      <c r="G774" s="4"/>
    </row>
    <row r="775">
      <c r="D775" s="4"/>
      <c r="E775" s="4"/>
      <c r="F775" s="4"/>
      <c r="G775" s="4"/>
    </row>
    <row r="776">
      <c r="D776" s="4"/>
      <c r="E776" s="4"/>
      <c r="F776" s="4"/>
      <c r="G776" s="4"/>
    </row>
    <row r="777">
      <c r="D777" s="4"/>
      <c r="E777" s="4"/>
      <c r="F777" s="4"/>
      <c r="G777" s="4"/>
    </row>
    <row r="778">
      <c r="D778" s="4"/>
      <c r="E778" s="4"/>
      <c r="F778" s="4"/>
      <c r="G778" s="4"/>
    </row>
    <row r="779">
      <c r="D779" s="4"/>
      <c r="E779" s="4"/>
      <c r="F779" s="4"/>
      <c r="G779" s="4"/>
    </row>
    <row r="780">
      <c r="D780" s="4"/>
      <c r="E780" s="4"/>
      <c r="F780" s="4"/>
      <c r="G780" s="4"/>
    </row>
    <row r="781">
      <c r="D781" s="4"/>
      <c r="E781" s="4"/>
      <c r="F781" s="4"/>
      <c r="G781" s="4"/>
    </row>
    <row r="782">
      <c r="D782" s="4"/>
      <c r="E782" s="4"/>
      <c r="F782" s="4"/>
      <c r="G782" s="4"/>
    </row>
    <row r="783">
      <c r="D783" s="4"/>
      <c r="E783" s="4"/>
      <c r="F783" s="4"/>
      <c r="G783" s="4"/>
    </row>
    <row r="784">
      <c r="D784" s="4"/>
      <c r="E784" s="4"/>
      <c r="F784" s="4"/>
      <c r="G784" s="4"/>
    </row>
    <row r="785">
      <c r="D785" s="4"/>
      <c r="E785" s="4"/>
      <c r="F785" s="4"/>
      <c r="G785" s="4"/>
    </row>
    <row r="786">
      <c r="D786" s="4"/>
      <c r="E786" s="4"/>
      <c r="F786" s="4"/>
      <c r="G786" s="4"/>
    </row>
    <row r="787">
      <c r="D787" s="4"/>
      <c r="E787" s="4"/>
      <c r="F787" s="4"/>
      <c r="G787" s="4"/>
    </row>
    <row r="788">
      <c r="D788" s="4"/>
      <c r="E788" s="4"/>
      <c r="F788" s="4"/>
      <c r="G788" s="4"/>
    </row>
    <row r="789">
      <c r="D789" s="4"/>
      <c r="E789" s="4"/>
      <c r="F789" s="4"/>
      <c r="G789" s="4"/>
    </row>
    <row r="790">
      <c r="D790" s="4"/>
      <c r="E790" s="4"/>
      <c r="F790" s="4"/>
      <c r="G790" s="4"/>
    </row>
    <row r="791">
      <c r="D791" s="4"/>
      <c r="E791" s="4"/>
      <c r="F791" s="4"/>
      <c r="G791" s="4"/>
    </row>
    <row r="792">
      <c r="D792" s="4"/>
      <c r="E792" s="4"/>
      <c r="F792" s="4"/>
      <c r="G792" s="4"/>
    </row>
    <row r="793">
      <c r="D793" s="4"/>
      <c r="E793" s="4"/>
      <c r="F793" s="4"/>
      <c r="G793" s="4"/>
    </row>
    <row r="794">
      <c r="D794" s="4"/>
      <c r="E794" s="4"/>
      <c r="F794" s="4"/>
      <c r="G794" s="4"/>
    </row>
    <row r="795">
      <c r="D795" s="4"/>
      <c r="E795" s="4"/>
      <c r="F795" s="4"/>
      <c r="G795" s="4"/>
    </row>
    <row r="796">
      <c r="D796" s="4"/>
      <c r="E796" s="4"/>
      <c r="F796" s="4"/>
      <c r="G796" s="4"/>
    </row>
    <row r="797">
      <c r="D797" s="4"/>
      <c r="E797" s="4"/>
      <c r="F797" s="4"/>
      <c r="G797" s="4"/>
    </row>
    <row r="798">
      <c r="D798" s="4"/>
      <c r="E798" s="4"/>
      <c r="F798" s="4"/>
      <c r="G798" s="4"/>
    </row>
    <row r="799">
      <c r="D799" s="4"/>
      <c r="E799" s="4"/>
      <c r="F799" s="4"/>
      <c r="G799" s="4"/>
    </row>
    <row r="800">
      <c r="D800" s="4"/>
      <c r="E800" s="4"/>
      <c r="F800" s="4"/>
      <c r="G800" s="4"/>
    </row>
    <row r="801">
      <c r="D801" s="4"/>
      <c r="E801" s="4"/>
      <c r="F801" s="4"/>
      <c r="G801" s="4"/>
    </row>
    <row r="802">
      <c r="D802" s="4"/>
      <c r="E802" s="4"/>
      <c r="F802" s="4"/>
      <c r="G802" s="4"/>
    </row>
    <row r="803">
      <c r="D803" s="4"/>
      <c r="E803" s="4"/>
      <c r="F803" s="4"/>
      <c r="G803" s="4"/>
    </row>
    <row r="804">
      <c r="D804" s="4"/>
      <c r="E804" s="4"/>
      <c r="F804" s="4"/>
      <c r="G804" s="4"/>
    </row>
    <row r="805">
      <c r="D805" s="4"/>
      <c r="E805" s="4"/>
      <c r="F805" s="4"/>
      <c r="G805" s="4"/>
    </row>
    <row r="806">
      <c r="D806" s="4"/>
      <c r="E806" s="4"/>
      <c r="F806" s="4"/>
      <c r="G806" s="4"/>
    </row>
    <row r="807">
      <c r="D807" s="4"/>
      <c r="E807" s="4"/>
      <c r="F807" s="4"/>
      <c r="G807" s="4"/>
    </row>
    <row r="808">
      <c r="D808" s="4"/>
      <c r="E808" s="4"/>
      <c r="F808" s="4"/>
      <c r="G808" s="4"/>
    </row>
    <row r="809">
      <c r="D809" s="4"/>
      <c r="E809" s="4"/>
      <c r="F809" s="4"/>
      <c r="G809" s="4"/>
    </row>
    <row r="810">
      <c r="D810" s="4"/>
      <c r="E810" s="4"/>
      <c r="F810" s="4"/>
      <c r="G810" s="4"/>
    </row>
    <row r="811">
      <c r="D811" s="4"/>
      <c r="E811" s="4"/>
      <c r="F811" s="4"/>
      <c r="G811" s="4"/>
    </row>
    <row r="812">
      <c r="D812" s="4"/>
      <c r="E812" s="4"/>
      <c r="F812" s="4"/>
      <c r="G812" s="4"/>
    </row>
    <row r="813">
      <c r="D813" s="4"/>
      <c r="E813" s="4"/>
      <c r="F813" s="4"/>
      <c r="G813" s="4"/>
    </row>
    <row r="814">
      <c r="D814" s="4"/>
      <c r="E814" s="4"/>
      <c r="F814" s="4"/>
      <c r="G814" s="4"/>
    </row>
    <row r="815">
      <c r="D815" s="4"/>
      <c r="E815" s="4"/>
      <c r="F815" s="4"/>
      <c r="G815" s="4"/>
    </row>
    <row r="816">
      <c r="D816" s="4"/>
      <c r="E816" s="4"/>
      <c r="F816" s="4"/>
      <c r="G816" s="4"/>
    </row>
    <row r="817">
      <c r="D817" s="4"/>
      <c r="E817" s="4"/>
      <c r="F817" s="4"/>
      <c r="G817" s="4"/>
    </row>
    <row r="818">
      <c r="D818" s="4"/>
      <c r="E818" s="4"/>
      <c r="F818" s="4"/>
      <c r="G818" s="4"/>
    </row>
    <row r="819">
      <c r="D819" s="4"/>
      <c r="E819" s="4"/>
      <c r="F819" s="4"/>
      <c r="G819" s="4"/>
    </row>
    <row r="820">
      <c r="D820" s="4"/>
      <c r="E820" s="4"/>
      <c r="F820" s="4"/>
      <c r="G820" s="4"/>
    </row>
    <row r="821">
      <c r="D821" s="4"/>
      <c r="E821" s="4"/>
      <c r="F821" s="4"/>
      <c r="G821" s="4"/>
    </row>
    <row r="822">
      <c r="D822" s="4"/>
      <c r="E822" s="4"/>
      <c r="F822" s="4"/>
      <c r="G822" s="4"/>
    </row>
    <row r="823">
      <c r="D823" s="4"/>
      <c r="E823" s="4"/>
      <c r="F823" s="4"/>
      <c r="G823" s="4"/>
    </row>
    <row r="824">
      <c r="D824" s="4"/>
      <c r="E824" s="4"/>
      <c r="F824" s="4"/>
      <c r="G824" s="4"/>
    </row>
    <row r="825">
      <c r="D825" s="4"/>
      <c r="E825" s="4"/>
      <c r="F825" s="4"/>
      <c r="G825" s="4"/>
    </row>
    <row r="826">
      <c r="D826" s="4"/>
      <c r="E826" s="4"/>
      <c r="F826" s="4"/>
      <c r="G826" s="4"/>
    </row>
    <row r="827">
      <c r="D827" s="4"/>
      <c r="E827" s="4"/>
      <c r="F827" s="4"/>
      <c r="G827" s="4"/>
    </row>
    <row r="828">
      <c r="D828" s="4"/>
      <c r="E828" s="4"/>
      <c r="F828" s="4"/>
      <c r="G828" s="4"/>
    </row>
    <row r="829">
      <c r="D829" s="4"/>
      <c r="E829" s="4"/>
      <c r="F829" s="4"/>
      <c r="G829" s="4"/>
    </row>
    <row r="830">
      <c r="D830" s="4"/>
      <c r="E830" s="4"/>
      <c r="F830" s="4"/>
      <c r="G830" s="4"/>
    </row>
    <row r="831">
      <c r="D831" s="4"/>
      <c r="E831" s="4"/>
      <c r="F831" s="4"/>
      <c r="G831" s="4"/>
    </row>
    <row r="832">
      <c r="D832" s="4"/>
      <c r="E832" s="4"/>
      <c r="F832" s="4"/>
      <c r="G832" s="4"/>
    </row>
    <row r="833">
      <c r="D833" s="4"/>
      <c r="E833" s="4"/>
      <c r="F833" s="4"/>
      <c r="G833" s="4"/>
    </row>
    <row r="834">
      <c r="D834" s="4"/>
      <c r="E834" s="4"/>
      <c r="F834" s="4"/>
      <c r="G834" s="4"/>
    </row>
    <row r="835">
      <c r="D835" s="4"/>
      <c r="E835" s="4"/>
      <c r="F835" s="4"/>
      <c r="G835" s="4"/>
    </row>
    <row r="836">
      <c r="D836" s="4"/>
      <c r="E836" s="4"/>
      <c r="F836" s="4"/>
      <c r="G836" s="4"/>
    </row>
    <row r="837">
      <c r="D837" s="4"/>
      <c r="E837" s="4"/>
      <c r="F837" s="4"/>
      <c r="G837" s="4"/>
    </row>
    <row r="838">
      <c r="D838" s="4"/>
      <c r="E838" s="4"/>
      <c r="F838" s="4"/>
      <c r="G838" s="4"/>
    </row>
    <row r="839">
      <c r="D839" s="4"/>
      <c r="E839" s="4"/>
      <c r="F839" s="4"/>
      <c r="G839" s="4"/>
    </row>
    <row r="840">
      <c r="D840" s="4"/>
      <c r="E840" s="4"/>
      <c r="F840" s="4"/>
      <c r="G840" s="4"/>
    </row>
    <row r="841">
      <c r="D841" s="4"/>
      <c r="E841" s="4"/>
      <c r="F841" s="4"/>
      <c r="G841" s="4"/>
    </row>
    <row r="842">
      <c r="D842" s="4"/>
      <c r="E842" s="4"/>
      <c r="F842" s="4"/>
      <c r="G842" s="4"/>
    </row>
    <row r="843">
      <c r="D843" s="4"/>
      <c r="E843" s="4"/>
      <c r="F843" s="4"/>
      <c r="G843" s="4"/>
    </row>
    <row r="844">
      <c r="D844" s="4"/>
      <c r="E844" s="4"/>
      <c r="F844" s="4"/>
      <c r="G844" s="4"/>
    </row>
    <row r="845">
      <c r="D845" s="4"/>
      <c r="E845" s="4"/>
      <c r="F845" s="4"/>
      <c r="G845" s="4"/>
    </row>
    <row r="846">
      <c r="D846" s="4"/>
      <c r="E846" s="4"/>
      <c r="F846" s="4"/>
      <c r="G846" s="4"/>
    </row>
    <row r="847">
      <c r="D847" s="4"/>
      <c r="E847" s="4"/>
      <c r="F847" s="4"/>
      <c r="G847" s="4"/>
    </row>
    <row r="848">
      <c r="D848" s="4"/>
      <c r="E848" s="4"/>
      <c r="F848" s="4"/>
      <c r="G848" s="4"/>
    </row>
    <row r="849">
      <c r="D849" s="4"/>
      <c r="E849" s="4"/>
      <c r="F849" s="4"/>
      <c r="G849" s="4"/>
    </row>
    <row r="850">
      <c r="D850" s="4"/>
      <c r="E850" s="4"/>
      <c r="F850" s="4"/>
      <c r="G850" s="4"/>
    </row>
    <row r="851">
      <c r="D851" s="4"/>
      <c r="E851" s="4"/>
      <c r="F851" s="4"/>
      <c r="G851" s="4"/>
    </row>
    <row r="852">
      <c r="D852" s="4"/>
      <c r="E852" s="4"/>
      <c r="F852" s="4"/>
      <c r="G852" s="4"/>
    </row>
    <row r="853">
      <c r="D853" s="4"/>
      <c r="E853" s="4"/>
      <c r="F853" s="4"/>
      <c r="G853" s="4"/>
    </row>
    <row r="854">
      <c r="D854" s="4"/>
      <c r="E854" s="4"/>
      <c r="F854" s="4"/>
      <c r="G854" s="4"/>
    </row>
    <row r="855">
      <c r="D855" s="4"/>
      <c r="E855" s="4"/>
      <c r="F855" s="4"/>
      <c r="G855" s="4"/>
    </row>
    <row r="856">
      <c r="D856" s="4"/>
      <c r="E856" s="4"/>
      <c r="F856" s="4"/>
      <c r="G856" s="4"/>
    </row>
    <row r="857">
      <c r="D857" s="4"/>
      <c r="E857" s="4"/>
      <c r="F857" s="4"/>
      <c r="G857" s="4"/>
    </row>
    <row r="858">
      <c r="D858" s="4"/>
      <c r="E858" s="4"/>
      <c r="F858" s="4"/>
      <c r="G858" s="4"/>
    </row>
    <row r="859">
      <c r="D859" s="4"/>
      <c r="E859" s="4"/>
      <c r="F859" s="4"/>
      <c r="G859" s="4"/>
    </row>
    <row r="860">
      <c r="D860" s="4"/>
      <c r="E860" s="4"/>
      <c r="F860" s="4"/>
      <c r="G860" s="4"/>
    </row>
    <row r="861">
      <c r="D861" s="4"/>
      <c r="E861" s="4"/>
      <c r="F861" s="4"/>
      <c r="G861" s="4"/>
    </row>
    <row r="862">
      <c r="D862" s="4"/>
      <c r="E862" s="4"/>
      <c r="F862" s="4"/>
      <c r="G862" s="4"/>
    </row>
    <row r="863">
      <c r="D863" s="4"/>
      <c r="E863" s="4"/>
      <c r="F863" s="4"/>
      <c r="G863" s="4"/>
    </row>
    <row r="864">
      <c r="D864" s="4"/>
      <c r="E864" s="4"/>
      <c r="F864" s="4"/>
      <c r="G864" s="4"/>
    </row>
    <row r="865">
      <c r="D865" s="4"/>
      <c r="E865" s="4"/>
      <c r="F865" s="4"/>
      <c r="G865" s="4"/>
    </row>
    <row r="866">
      <c r="D866" s="4"/>
      <c r="E866" s="4"/>
      <c r="F866" s="4"/>
      <c r="G866" s="4"/>
    </row>
    <row r="867">
      <c r="D867" s="4"/>
      <c r="E867" s="4"/>
      <c r="F867" s="4"/>
      <c r="G867" s="4"/>
    </row>
    <row r="868">
      <c r="D868" s="4"/>
      <c r="E868" s="4"/>
      <c r="F868" s="4"/>
      <c r="G868" s="4"/>
    </row>
    <row r="869">
      <c r="D869" s="4"/>
      <c r="E869" s="4"/>
      <c r="F869" s="4"/>
      <c r="G869" s="4"/>
    </row>
    <row r="870">
      <c r="D870" s="4"/>
      <c r="E870" s="4"/>
      <c r="F870" s="4"/>
      <c r="G870" s="4"/>
    </row>
    <row r="871">
      <c r="D871" s="4"/>
      <c r="E871" s="4"/>
      <c r="F871" s="4"/>
      <c r="G871" s="4"/>
    </row>
    <row r="872">
      <c r="D872" s="4"/>
      <c r="E872" s="4"/>
      <c r="F872" s="4"/>
      <c r="G872" s="4"/>
    </row>
    <row r="873">
      <c r="D873" s="4"/>
      <c r="E873" s="4"/>
      <c r="F873" s="4"/>
      <c r="G873" s="4"/>
    </row>
    <row r="874">
      <c r="D874" s="4"/>
      <c r="E874" s="4"/>
      <c r="F874" s="4"/>
      <c r="G874" s="4"/>
    </row>
    <row r="875">
      <c r="D875" s="4"/>
      <c r="E875" s="4"/>
      <c r="F875" s="4"/>
      <c r="G875" s="4"/>
    </row>
    <row r="876">
      <c r="D876" s="4"/>
      <c r="E876" s="4"/>
      <c r="F876" s="4"/>
      <c r="G876" s="4"/>
    </row>
    <row r="877">
      <c r="D877" s="4"/>
      <c r="E877" s="4"/>
      <c r="F877" s="4"/>
      <c r="G877" s="4"/>
    </row>
    <row r="878">
      <c r="D878" s="4"/>
      <c r="E878" s="4"/>
      <c r="F878" s="4"/>
      <c r="G878" s="4"/>
    </row>
    <row r="879">
      <c r="D879" s="4"/>
      <c r="E879" s="4"/>
      <c r="F879" s="4"/>
      <c r="G879" s="4"/>
    </row>
    <row r="880">
      <c r="D880" s="4"/>
      <c r="E880" s="4"/>
      <c r="F880" s="4"/>
      <c r="G880" s="4"/>
    </row>
    <row r="881">
      <c r="D881" s="4"/>
      <c r="E881" s="4"/>
      <c r="F881" s="4"/>
      <c r="G881" s="4"/>
    </row>
    <row r="882">
      <c r="D882" s="4"/>
      <c r="E882" s="4"/>
      <c r="F882" s="4"/>
      <c r="G882" s="4"/>
    </row>
    <row r="883">
      <c r="D883" s="4"/>
      <c r="E883" s="4"/>
      <c r="F883" s="4"/>
      <c r="G883" s="4"/>
    </row>
    <row r="884">
      <c r="D884" s="4"/>
      <c r="E884" s="4"/>
      <c r="F884" s="4"/>
      <c r="G884" s="4"/>
    </row>
    <row r="885">
      <c r="D885" s="4"/>
      <c r="E885" s="4"/>
      <c r="F885" s="4"/>
      <c r="G885" s="4"/>
    </row>
    <row r="886">
      <c r="D886" s="4"/>
      <c r="E886" s="4"/>
      <c r="F886" s="4"/>
      <c r="G886" s="4"/>
    </row>
    <row r="887">
      <c r="D887" s="4"/>
      <c r="E887" s="4"/>
      <c r="F887" s="4"/>
      <c r="G887" s="4"/>
    </row>
    <row r="888">
      <c r="D888" s="4"/>
      <c r="E888" s="4"/>
      <c r="F888" s="4"/>
      <c r="G888" s="4"/>
    </row>
    <row r="889">
      <c r="D889" s="4"/>
      <c r="E889" s="4"/>
      <c r="F889" s="4"/>
      <c r="G889" s="4"/>
    </row>
    <row r="890">
      <c r="D890" s="4"/>
      <c r="E890" s="4"/>
      <c r="F890" s="4"/>
      <c r="G890" s="4"/>
    </row>
    <row r="891">
      <c r="D891" s="4"/>
      <c r="E891" s="4"/>
      <c r="F891" s="4"/>
      <c r="G891" s="4"/>
    </row>
    <row r="892">
      <c r="D892" s="4"/>
      <c r="E892" s="4"/>
      <c r="F892" s="4"/>
      <c r="G892" s="4"/>
    </row>
    <row r="893">
      <c r="D893" s="4"/>
      <c r="E893" s="4"/>
      <c r="F893" s="4"/>
      <c r="G893" s="4"/>
    </row>
    <row r="894">
      <c r="D894" s="4"/>
      <c r="E894" s="4"/>
      <c r="F894" s="4"/>
      <c r="G894" s="4"/>
    </row>
    <row r="895">
      <c r="D895" s="4"/>
      <c r="E895" s="4"/>
      <c r="F895" s="4"/>
      <c r="G895" s="4"/>
    </row>
    <row r="896">
      <c r="D896" s="4"/>
      <c r="E896" s="4"/>
      <c r="F896" s="4"/>
      <c r="G896" s="4"/>
    </row>
    <row r="897">
      <c r="D897" s="4"/>
      <c r="E897" s="4"/>
      <c r="F897" s="4"/>
      <c r="G897" s="4"/>
    </row>
    <row r="898">
      <c r="D898" s="4"/>
      <c r="E898" s="4"/>
      <c r="F898" s="4"/>
      <c r="G898" s="4"/>
    </row>
    <row r="899">
      <c r="D899" s="4"/>
      <c r="E899" s="4"/>
      <c r="F899" s="4"/>
      <c r="G899" s="4"/>
    </row>
    <row r="900">
      <c r="D900" s="4"/>
      <c r="E900" s="4"/>
      <c r="F900" s="4"/>
      <c r="G900" s="4"/>
    </row>
    <row r="901">
      <c r="D901" s="4"/>
      <c r="E901" s="4"/>
      <c r="F901" s="4"/>
      <c r="G901" s="4"/>
    </row>
    <row r="902">
      <c r="D902" s="4"/>
      <c r="E902" s="4"/>
      <c r="F902" s="4"/>
      <c r="G902" s="4"/>
    </row>
    <row r="903">
      <c r="D903" s="4"/>
      <c r="E903" s="4"/>
      <c r="F903" s="4"/>
      <c r="G903" s="4"/>
    </row>
    <row r="904">
      <c r="D904" s="4"/>
      <c r="E904" s="4"/>
      <c r="F904" s="4"/>
      <c r="G904" s="4"/>
    </row>
    <row r="905">
      <c r="D905" s="4"/>
      <c r="E905" s="4"/>
      <c r="F905" s="4"/>
      <c r="G905" s="4"/>
    </row>
    <row r="906">
      <c r="D906" s="4"/>
      <c r="E906" s="4"/>
      <c r="F906" s="4"/>
      <c r="G906" s="4"/>
    </row>
    <row r="907">
      <c r="D907" s="4"/>
      <c r="E907" s="4"/>
      <c r="F907" s="4"/>
      <c r="G907" s="4"/>
    </row>
    <row r="908">
      <c r="D908" s="4"/>
      <c r="E908" s="4"/>
      <c r="F908" s="4"/>
      <c r="G908" s="4"/>
    </row>
    <row r="909">
      <c r="D909" s="4"/>
      <c r="E909" s="4"/>
      <c r="F909" s="4"/>
      <c r="G909" s="4"/>
    </row>
    <row r="910">
      <c r="D910" s="4"/>
      <c r="E910" s="4"/>
      <c r="F910" s="4"/>
      <c r="G910" s="4"/>
    </row>
    <row r="911">
      <c r="D911" s="4"/>
      <c r="E911" s="4"/>
      <c r="F911" s="4"/>
      <c r="G911" s="4"/>
    </row>
    <row r="912">
      <c r="D912" s="4"/>
      <c r="E912" s="4"/>
      <c r="F912" s="4"/>
      <c r="G912" s="4"/>
    </row>
    <row r="913">
      <c r="D913" s="4"/>
      <c r="E913" s="4"/>
      <c r="F913" s="4"/>
      <c r="G913" s="4"/>
    </row>
    <row r="914">
      <c r="D914" s="4"/>
      <c r="E914" s="4"/>
      <c r="F914" s="4"/>
      <c r="G914" s="4"/>
    </row>
    <row r="915">
      <c r="D915" s="4"/>
      <c r="E915" s="4"/>
      <c r="F915" s="4"/>
      <c r="G915" s="4"/>
    </row>
    <row r="916">
      <c r="D916" s="4"/>
      <c r="E916" s="4"/>
      <c r="F916" s="4"/>
      <c r="G916" s="4"/>
    </row>
    <row r="917">
      <c r="D917" s="4"/>
      <c r="E917" s="4"/>
      <c r="F917" s="4"/>
      <c r="G917" s="4"/>
    </row>
    <row r="918">
      <c r="D918" s="4"/>
      <c r="E918" s="4"/>
      <c r="F918" s="4"/>
      <c r="G918" s="4"/>
    </row>
    <row r="919">
      <c r="D919" s="4"/>
      <c r="E919" s="4"/>
      <c r="F919" s="4"/>
      <c r="G919" s="4"/>
    </row>
    <row r="920">
      <c r="D920" s="4"/>
      <c r="E920" s="4"/>
      <c r="F920" s="4"/>
      <c r="G920" s="4"/>
    </row>
    <row r="921">
      <c r="D921" s="4"/>
      <c r="E921" s="4"/>
      <c r="F921" s="4"/>
      <c r="G921" s="4"/>
    </row>
    <row r="922">
      <c r="D922" s="4"/>
      <c r="E922" s="4"/>
      <c r="F922" s="4"/>
      <c r="G922" s="4"/>
    </row>
    <row r="923">
      <c r="D923" s="4"/>
      <c r="E923" s="4"/>
      <c r="F923" s="4"/>
      <c r="G923" s="4"/>
    </row>
    <row r="924">
      <c r="D924" s="4"/>
      <c r="E924" s="4"/>
      <c r="F924" s="4"/>
      <c r="G924" s="4"/>
    </row>
    <row r="925">
      <c r="D925" s="4"/>
      <c r="E925" s="4"/>
      <c r="F925" s="4"/>
      <c r="G925" s="4"/>
    </row>
    <row r="926">
      <c r="D926" s="4"/>
      <c r="E926" s="4"/>
      <c r="F926" s="4"/>
      <c r="G926" s="4"/>
    </row>
    <row r="927">
      <c r="D927" s="4"/>
      <c r="E927" s="4"/>
      <c r="F927" s="4"/>
      <c r="G927" s="4"/>
    </row>
    <row r="928">
      <c r="D928" s="4"/>
      <c r="E928" s="4"/>
      <c r="F928" s="4"/>
      <c r="G928" s="4"/>
    </row>
    <row r="929">
      <c r="D929" s="4"/>
      <c r="E929" s="4"/>
      <c r="F929" s="4"/>
      <c r="G929" s="4"/>
    </row>
    <row r="930">
      <c r="D930" s="4"/>
      <c r="E930" s="4"/>
      <c r="F930" s="4"/>
      <c r="G930" s="4"/>
    </row>
    <row r="931">
      <c r="D931" s="4"/>
      <c r="E931" s="4"/>
      <c r="F931" s="4"/>
      <c r="G931" s="4"/>
    </row>
    <row r="932">
      <c r="D932" s="4"/>
      <c r="E932" s="4"/>
      <c r="F932" s="4"/>
      <c r="G932" s="4"/>
    </row>
    <row r="933">
      <c r="D933" s="4"/>
      <c r="E933" s="4"/>
      <c r="F933" s="4"/>
      <c r="G933" s="4"/>
    </row>
    <row r="934">
      <c r="D934" s="4"/>
      <c r="E934" s="4"/>
      <c r="F934" s="4"/>
      <c r="G934" s="4"/>
    </row>
    <row r="935">
      <c r="D935" s="4"/>
      <c r="E935" s="4"/>
      <c r="F935" s="4"/>
      <c r="G935" s="4"/>
    </row>
    <row r="936">
      <c r="D936" s="4"/>
      <c r="E936" s="4"/>
      <c r="F936" s="4"/>
      <c r="G936" s="4"/>
    </row>
    <row r="937">
      <c r="D937" s="4"/>
      <c r="E937" s="4"/>
      <c r="F937" s="4"/>
      <c r="G937" s="4"/>
    </row>
    <row r="938">
      <c r="D938" s="4"/>
      <c r="E938" s="4"/>
      <c r="F938" s="4"/>
      <c r="G938" s="4"/>
    </row>
    <row r="939">
      <c r="D939" s="4"/>
      <c r="E939" s="4"/>
      <c r="F939" s="4"/>
      <c r="G939" s="4"/>
    </row>
    <row r="940">
      <c r="D940" s="4"/>
      <c r="E940" s="4"/>
      <c r="F940" s="4"/>
      <c r="G940" s="4"/>
    </row>
    <row r="941">
      <c r="D941" s="4"/>
      <c r="E941" s="4"/>
      <c r="F941" s="4"/>
      <c r="G941" s="4"/>
    </row>
    <row r="942">
      <c r="D942" s="4"/>
      <c r="E942" s="4"/>
      <c r="F942" s="4"/>
      <c r="G942" s="4"/>
    </row>
    <row r="943">
      <c r="D943" s="4"/>
      <c r="E943" s="4"/>
      <c r="F943" s="4"/>
      <c r="G943" s="4"/>
    </row>
    <row r="944">
      <c r="D944" s="4"/>
      <c r="E944" s="4"/>
      <c r="F944" s="4"/>
      <c r="G944" s="4"/>
    </row>
    <row r="945">
      <c r="D945" s="4"/>
      <c r="E945" s="4"/>
      <c r="F945" s="4"/>
      <c r="G945" s="4"/>
    </row>
    <row r="946">
      <c r="D946" s="4"/>
      <c r="E946" s="4"/>
      <c r="F946" s="4"/>
      <c r="G946" s="4"/>
    </row>
    <row r="947">
      <c r="D947" s="4"/>
      <c r="E947" s="4"/>
      <c r="F947" s="4"/>
      <c r="G947" s="4"/>
    </row>
    <row r="948">
      <c r="D948" s="4"/>
      <c r="E948" s="4"/>
      <c r="F948" s="4"/>
      <c r="G948" s="4"/>
    </row>
    <row r="949">
      <c r="D949" s="4"/>
      <c r="E949" s="4"/>
      <c r="F949" s="4"/>
      <c r="G949" s="4"/>
    </row>
    <row r="950">
      <c r="D950" s="4"/>
      <c r="E950" s="4"/>
      <c r="F950" s="4"/>
      <c r="G950" s="4"/>
    </row>
    <row r="951">
      <c r="D951" s="4"/>
      <c r="E951" s="4"/>
      <c r="F951" s="4"/>
      <c r="G951" s="4"/>
    </row>
    <row r="952">
      <c r="D952" s="4"/>
      <c r="E952" s="4"/>
      <c r="F952" s="4"/>
      <c r="G952" s="4"/>
    </row>
    <row r="953">
      <c r="D953" s="4"/>
      <c r="E953" s="4"/>
      <c r="F953" s="4"/>
      <c r="G953" s="4"/>
    </row>
    <row r="954">
      <c r="D954" s="4"/>
      <c r="E954" s="4"/>
      <c r="F954" s="4"/>
      <c r="G954" s="4"/>
    </row>
    <row r="955">
      <c r="D955" s="4"/>
      <c r="E955" s="4"/>
      <c r="F955" s="4"/>
      <c r="G955" s="4"/>
    </row>
    <row r="956">
      <c r="D956" s="4"/>
      <c r="E956" s="4"/>
      <c r="F956" s="4"/>
      <c r="G956" s="4"/>
    </row>
    <row r="957">
      <c r="D957" s="4"/>
      <c r="E957" s="4"/>
      <c r="F957" s="4"/>
      <c r="G957" s="4"/>
    </row>
    <row r="958">
      <c r="D958" s="4"/>
      <c r="E958" s="4"/>
      <c r="F958" s="4"/>
      <c r="G958" s="4"/>
    </row>
    <row r="959">
      <c r="D959" s="4"/>
      <c r="E959" s="4"/>
      <c r="F959" s="4"/>
      <c r="G959" s="4"/>
    </row>
    <row r="960">
      <c r="D960" s="4"/>
      <c r="E960" s="4"/>
      <c r="F960" s="4"/>
      <c r="G960" s="4"/>
    </row>
    <row r="961">
      <c r="D961" s="4"/>
      <c r="E961" s="4"/>
      <c r="F961" s="4"/>
      <c r="G961" s="4"/>
    </row>
    <row r="962">
      <c r="D962" s="4"/>
      <c r="E962" s="4"/>
      <c r="F962" s="4"/>
      <c r="G962" s="4"/>
    </row>
    <row r="963">
      <c r="D963" s="4"/>
      <c r="E963" s="4"/>
      <c r="F963" s="4"/>
      <c r="G963" s="4"/>
    </row>
    <row r="964">
      <c r="D964" s="4"/>
      <c r="E964" s="4"/>
      <c r="F964" s="4"/>
      <c r="G964" s="4"/>
    </row>
    <row r="965">
      <c r="D965" s="4"/>
      <c r="E965" s="4"/>
      <c r="F965" s="4"/>
      <c r="G965" s="4"/>
    </row>
    <row r="966">
      <c r="D966" s="4"/>
      <c r="E966" s="4"/>
      <c r="F966" s="4"/>
      <c r="G966" s="4"/>
    </row>
    <row r="967">
      <c r="D967" s="4"/>
      <c r="E967" s="4"/>
      <c r="F967" s="4"/>
      <c r="G967" s="4"/>
    </row>
    <row r="968">
      <c r="D968" s="4"/>
      <c r="E968" s="4"/>
      <c r="F968" s="4"/>
      <c r="G968" s="4"/>
    </row>
    <row r="969">
      <c r="D969" s="4"/>
      <c r="E969" s="4"/>
      <c r="F969" s="4"/>
      <c r="G969" s="4"/>
    </row>
    <row r="970">
      <c r="D970" s="4"/>
      <c r="E970" s="4"/>
      <c r="F970" s="4"/>
      <c r="G970" s="4"/>
    </row>
    <row r="971">
      <c r="D971" s="4"/>
      <c r="E971" s="4"/>
      <c r="F971" s="4"/>
      <c r="G971" s="4"/>
    </row>
    <row r="972">
      <c r="D972" s="4"/>
      <c r="E972" s="4"/>
      <c r="F972" s="4"/>
      <c r="G972" s="4"/>
    </row>
    <row r="973">
      <c r="D973" s="4"/>
      <c r="E973" s="4"/>
      <c r="F973" s="4"/>
      <c r="G973" s="4"/>
    </row>
    <row r="974">
      <c r="D974" s="4"/>
      <c r="E974" s="4"/>
      <c r="F974" s="4"/>
      <c r="G974" s="4"/>
    </row>
    <row r="975">
      <c r="D975" s="4"/>
      <c r="E975" s="4"/>
      <c r="F975" s="4"/>
      <c r="G975" s="4"/>
    </row>
    <row r="976">
      <c r="D976" s="4"/>
      <c r="E976" s="4"/>
      <c r="F976" s="4"/>
      <c r="G976" s="4"/>
    </row>
    <row r="977">
      <c r="D977" s="4"/>
      <c r="E977" s="4"/>
      <c r="F977" s="4"/>
      <c r="G977" s="4"/>
    </row>
    <row r="978">
      <c r="D978" s="4"/>
      <c r="E978" s="4"/>
      <c r="F978" s="4"/>
      <c r="G978" s="4"/>
    </row>
    <row r="979">
      <c r="D979" s="4"/>
      <c r="E979" s="4"/>
      <c r="F979" s="4"/>
      <c r="G979" s="4"/>
    </row>
    <row r="980">
      <c r="D980" s="4"/>
      <c r="E980" s="4"/>
      <c r="F980" s="4"/>
      <c r="G980" s="4"/>
    </row>
    <row r="981">
      <c r="D981" s="4"/>
      <c r="E981" s="4"/>
      <c r="F981" s="4"/>
      <c r="G981" s="4"/>
    </row>
    <row r="982">
      <c r="D982" s="4"/>
      <c r="E982" s="4"/>
      <c r="F982" s="4"/>
      <c r="G982" s="4"/>
    </row>
    <row r="983">
      <c r="D983" s="4"/>
      <c r="E983" s="4"/>
      <c r="F983" s="4"/>
      <c r="G983" s="4"/>
    </row>
    <row r="984">
      <c r="D984" s="4"/>
      <c r="E984" s="4"/>
      <c r="F984" s="4"/>
      <c r="G984" s="4"/>
    </row>
    <row r="985">
      <c r="D985" s="4"/>
      <c r="E985" s="4"/>
      <c r="F985" s="4"/>
      <c r="G985" s="4"/>
    </row>
    <row r="986">
      <c r="D986" s="4"/>
      <c r="E986" s="4"/>
      <c r="F986" s="4"/>
      <c r="G986" s="4"/>
    </row>
    <row r="987">
      <c r="D987" s="4"/>
      <c r="E987" s="4"/>
      <c r="F987" s="4"/>
      <c r="G987" s="4"/>
    </row>
    <row r="988">
      <c r="D988" s="4"/>
      <c r="E988" s="4"/>
      <c r="F988" s="4"/>
      <c r="G988" s="4"/>
    </row>
    <row r="989">
      <c r="D989" s="4"/>
      <c r="E989" s="4"/>
      <c r="F989" s="4"/>
      <c r="G989" s="4"/>
    </row>
    <row r="990">
      <c r="D990" s="4"/>
      <c r="E990" s="4"/>
      <c r="F990" s="4"/>
      <c r="G990" s="4"/>
    </row>
    <row r="991">
      <c r="D991" s="4"/>
      <c r="E991" s="4"/>
      <c r="F991" s="4"/>
      <c r="G991" s="4"/>
    </row>
    <row r="992">
      <c r="D992" s="4"/>
      <c r="E992" s="4"/>
      <c r="F992" s="4"/>
      <c r="G992" s="4"/>
    </row>
    <row r="993">
      <c r="D993" s="4"/>
      <c r="E993" s="4"/>
      <c r="F993" s="4"/>
      <c r="G993" s="4"/>
    </row>
    <row r="994">
      <c r="D994" s="4"/>
      <c r="E994" s="4"/>
      <c r="F994" s="4"/>
      <c r="G994" s="4"/>
    </row>
    <row r="995">
      <c r="D995" s="4"/>
      <c r="E995" s="4"/>
      <c r="F995" s="4"/>
      <c r="G995" s="4"/>
    </row>
    <row r="996">
      <c r="D996" s="4"/>
      <c r="E996" s="4"/>
      <c r="F996" s="4"/>
      <c r="G996" s="4"/>
    </row>
    <row r="997">
      <c r="D997" s="4"/>
      <c r="E997" s="4"/>
      <c r="F997" s="4"/>
      <c r="G997" s="4"/>
    </row>
    <row r="998">
      <c r="D998" s="4"/>
      <c r="E998" s="4"/>
      <c r="F998" s="4"/>
      <c r="G998" s="4"/>
    </row>
    <row r="999">
      <c r="D999" s="4"/>
      <c r="E999" s="4"/>
      <c r="F999" s="4"/>
      <c r="G999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8.88"/>
    <col customWidth="1" min="2" max="2" width="30.0"/>
    <col customWidth="1" min="3" max="3" width="21.38"/>
    <col customWidth="1" min="4" max="13" width="18.88"/>
  </cols>
  <sheetData>
    <row r="1">
      <c r="A1" s="6"/>
      <c r="B1" s="6"/>
      <c r="C1" s="6"/>
      <c r="D1" s="7" t="s">
        <v>7</v>
      </c>
      <c r="F1" s="7" t="s">
        <v>8</v>
      </c>
    </row>
    <row r="2">
      <c r="A2" s="6" t="s">
        <v>9</v>
      </c>
      <c r="B2" s="6" t="s">
        <v>10</v>
      </c>
      <c r="C2" s="6" t="s">
        <v>0</v>
      </c>
      <c r="D2" s="8" t="s">
        <v>11</v>
      </c>
      <c r="E2" s="8" t="s">
        <v>12</v>
      </c>
      <c r="F2" s="8" t="s">
        <v>13</v>
      </c>
      <c r="G2" s="8" t="s">
        <v>14</v>
      </c>
    </row>
    <row r="3">
      <c r="A3" s="9">
        <v>44911.50682804398</v>
      </c>
      <c r="B3" s="10" t="s">
        <v>15</v>
      </c>
      <c r="C3" s="10" t="s">
        <v>16</v>
      </c>
      <c r="D3" s="10">
        <v>3.0</v>
      </c>
      <c r="E3" s="10">
        <v>1.0</v>
      </c>
      <c r="F3" s="10">
        <v>1.0</v>
      </c>
      <c r="G3" s="10">
        <v>3.0</v>
      </c>
    </row>
    <row r="4">
      <c r="A4" s="9">
        <v>44911.51776935185</v>
      </c>
      <c r="B4" s="10" t="s">
        <v>17</v>
      </c>
      <c r="C4" s="10" t="s">
        <v>18</v>
      </c>
      <c r="D4" s="10">
        <v>8.0</v>
      </c>
      <c r="E4" s="10">
        <v>0.0</v>
      </c>
      <c r="F4" s="10">
        <v>4.0</v>
      </c>
      <c r="G4" s="10">
        <v>4.0</v>
      </c>
    </row>
    <row r="5">
      <c r="A5" s="9">
        <v>44911.76549523148</v>
      </c>
      <c r="B5" s="10" t="s">
        <v>19</v>
      </c>
      <c r="C5" s="10" t="s">
        <v>20</v>
      </c>
      <c r="D5" s="10">
        <v>2.0</v>
      </c>
      <c r="E5" s="10">
        <v>2.0</v>
      </c>
      <c r="F5" s="10">
        <v>2.0</v>
      </c>
      <c r="G5" s="10">
        <v>0.0</v>
      </c>
    </row>
    <row r="6">
      <c r="A6" s="9">
        <v>44911.80960284722</v>
      </c>
      <c r="B6" s="10" t="s">
        <v>21</v>
      </c>
      <c r="C6" s="10" t="s">
        <v>22</v>
      </c>
      <c r="D6" s="10">
        <v>1.0</v>
      </c>
      <c r="E6" s="10">
        <v>0.0</v>
      </c>
      <c r="F6" s="10">
        <v>1.0</v>
      </c>
      <c r="G6" s="10">
        <v>2.0</v>
      </c>
    </row>
    <row r="7">
      <c r="A7" s="9">
        <v>44911.816068217595</v>
      </c>
      <c r="B7" s="10" t="s">
        <v>23</v>
      </c>
      <c r="C7" s="10" t="s">
        <v>24</v>
      </c>
      <c r="D7" s="10">
        <v>2.0</v>
      </c>
      <c r="E7" s="10">
        <v>2.0</v>
      </c>
      <c r="F7" s="10">
        <v>3.0</v>
      </c>
      <c r="G7" s="10">
        <v>2.0</v>
      </c>
    </row>
    <row r="8">
      <c r="A8" s="9">
        <v>44911.82743193287</v>
      </c>
      <c r="B8" s="10" t="s">
        <v>25</v>
      </c>
      <c r="C8" s="10" t="s">
        <v>26</v>
      </c>
      <c r="D8" s="10">
        <v>1.0</v>
      </c>
      <c r="E8" s="10">
        <v>2.0</v>
      </c>
      <c r="F8" s="10">
        <v>1.0</v>
      </c>
      <c r="G8" s="10">
        <v>0.0</v>
      </c>
    </row>
    <row r="9">
      <c r="A9" s="9">
        <v>44911.86976747685</v>
      </c>
      <c r="B9" s="10" t="s">
        <v>27</v>
      </c>
      <c r="C9" s="10" t="s">
        <v>28</v>
      </c>
      <c r="D9" s="10">
        <v>2.0</v>
      </c>
      <c r="E9" s="10">
        <v>1.0</v>
      </c>
      <c r="F9" s="10">
        <v>0.0</v>
      </c>
      <c r="G9" s="10">
        <v>1.0</v>
      </c>
    </row>
    <row r="10">
      <c r="A10" s="9">
        <v>44911.88718582176</v>
      </c>
      <c r="B10" s="10" t="s">
        <v>21</v>
      </c>
      <c r="C10" s="10" t="s">
        <v>29</v>
      </c>
      <c r="D10" s="10">
        <v>2.0</v>
      </c>
      <c r="E10" s="10">
        <v>1.0</v>
      </c>
      <c r="F10" s="10">
        <v>1.0</v>
      </c>
      <c r="G10" s="10">
        <v>1.0</v>
      </c>
    </row>
    <row r="11">
      <c r="A11" s="9">
        <v>44911.905432569445</v>
      </c>
      <c r="B11" s="10" t="s">
        <v>30</v>
      </c>
      <c r="C11" s="10" t="s">
        <v>31</v>
      </c>
      <c r="D11" s="10">
        <v>2.0</v>
      </c>
      <c r="E11" s="10">
        <v>2.0</v>
      </c>
      <c r="F11" s="10">
        <v>1.0</v>
      </c>
      <c r="G11" s="10">
        <v>2.0</v>
      </c>
    </row>
    <row r="12">
      <c r="A12" s="9">
        <v>44911.95071754629</v>
      </c>
      <c r="B12" s="10" t="s">
        <v>32</v>
      </c>
      <c r="C12" s="10" t="s">
        <v>33</v>
      </c>
      <c r="D12" s="10">
        <v>3.0</v>
      </c>
      <c r="E12" s="10">
        <v>1.0</v>
      </c>
      <c r="F12" s="10">
        <v>0.0</v>
      </c>
      <c r="G12" s="10">
        <v>2.0</v>
      </c>
    </row>
    <row r="13">
      <c r="A13" s="9">
        <v>44911.96907600695</v>
      </c>
      <c r="B13" s="10" t="s">
        <v>34</v>
      </c>
      <c r="C13" s="10" t="s">
        <v>35</v>
      </c>
      <c r="D13" s="10">
        <v>1.0</v>
      </c>
      <c r="E13" s="10">
        <v>2.0</v>
      </c>
      <c r="F13" s="10">
        <v>2.0</v>
      </c>
      <c r="G13" s="10">
        <v>1.0</v>
      </c>
    </row>
    <row r="14">
      <c r="A14" s="9">
        <v>44911.97547290509</v>
      </c>
      <c r="B14" s="10" t="s">
        <v>36</v>
      </c>
      <c r="C14" s="10" t="s">
        <v>37</v>
      </c>
      <c r="D14" s="10">
        <v>1.0</v>
      </c>
      <c r="E14" s="10">
        <v>1.0</v>
      </c>
      <c r="F14" s="10">
        <v>1.0</v>
      </c>
      <c r="G14" s="10">
        <v>2.0</v>
      </c>
    </row>
    <row r="15">
      <c r="A15" s="9">
        <v>44912.41706546296</v>
      </c>
      <c r="B15" s="10" t="s">
        <v>38</v>
      </c>
      <c r="C15" s="10" t="s">
        <v>39</v>
      </c>
      <c r="D15" s="10">
        <v>2.0</v>
      </c>
      <c r="E15" s="10">
        <v>1.0</v>
      </c>
      <c r="F15" s="10">
        <v>3.0</v>
      </c>
      <c r="G15" s="10">
        <v>1.0</v>
      </c>
    </row>
    <row r="16">
      <c r="A16" s="9">
        <v>44912.48079591435</v>
      </c>
      <c r="B16" s="10" t="s">
        <v>40</v>
      </c>
      <c r="C16" s="10" t="s">
        <v>41</v>
      </c>
      <c r="D16" s="10">
        <v>2.0</v>
      </c>
      <c r="E16" s="10">
        <v>2.0</v>
      </c>
      <c r="F16" s="10">
        <v>2.0</v>
      </c>
      <c r="G16" s="10">
        <v>1.0</v>
      </c>
    </row>
    <row r="17">
      <c r="A17" s="9">
        <v>44912.48314556713</v>
      </c>
      <c r="B17" s="10" t="s">
        <v>42</v>
      </c>
      <c r="C17" s="10" t="s">
        <v>43</v>
      </c>
      <c r="D17" s="10">
        <v>2.0</v>
      </c>
      <c r="E17" s="10">
        <v>1.0</v>
      </c>
      <c r="F17" s="10">
        <v>2.0</v>
      </c>
      <c r="G17" s="10">
        <v>1.0</v>
      </c>
    </row>
    <row r="18">
      <c r="C18" s="10" t="s">
        <v>44</v>
      </c>
      <c r="D18" s="10">
        <v>3.0</v>
      </c>
      <c r="E18" s="10">
        <v>3.0</v>
      </c>
      <c r="F18" s="10">
        <v>2.0</v>
      </c>
      <c r="G18" s="10">
        <v>2.0</v>
      </c>
    </row>
    <row r="19">
      <c r="C19" s="10" t="s">
        <v>45</v>
      </c>
      <c r="D19" s="10">
        <v>2.0</v>
      </c>
      <c r="E19" s="10">
        <v>0.0</v>
      </c>
      <c r="F19" s="10">
        <v>2.0</v>
      </c>
      <c r="G19" s="10">
        <v>1.0</v>
      </c>
    </row>
    <row r="20">
      <c r="C20" s="10" t="s">
        <v>46</v>
      </c>
      <c r="D20" s="10">
        <v>1.0</v>
      </c>
      <c r="E20" s="10">
        <v>2.0</v>
      </c>
      <c r="F20" s="10">
        <v>1.0</v>
      </c>
      <c r="G20" s="10">
        <v>2.0</v>
      </c>
    </row>
    <row r="21">
      <c r="C21" s="10" t="s">
        <v>47</v>
      </c>
      <c r="D21" s="10">
        <v>2.0</v>
      </c>
      <c r="E21" s="10">
        <v>1.0</v>
      </c>
      <c r="F21" s="10">
        <v>2.0</v>
      </c>
      <c r="G21" s="10">
        <v>0.0</v>
      </c>
    </row>
    <row r="22">
      <c r="C22" s="10" t="s">
        <v>48</v>
      </c>
      <c r="D22" s="10">
        <v>1.0</v>
      </c>
      <c r="E22" s="10">
        <v>3.0</v>
      </c>
      <c r="F22" s="10">
        <v>2.0</v>
      </c>
      <c r="G22" s="10">
        <v>1.0</v>
      </c>
    </row>
    <row r="23">
      <c r="C23" s="10" t="s">
        <v>49</v>
      </c>
      <c r="D23" s="10">
        <v>2.0</v>
      </c>
      <c r="E23" s="10">
        <v>2.0</v>
      </c>
      <c r="F23" s="10">
        <v>0.0</v>
      </c>
      <c r="G23" s="10">
        <v>1.0</v>
      </c>
    </row>
    <row r="24">
      <c r="C24" s="10" t="s">
        <v>50</v>
      </c>
      <c r="D24" s="10">
        <v>3.0</v>
      </c>
      <c r="E24" s="10">
        <v>1.0</v>
      </c>
      <c r="F24" s="10">
        <v>1.0</v>
      </c>
      <c r="G24" s="10">
        <v>2.0</v>
      </c>
    </row>
    <row r="25">
      <c r="C25" s="10" t="s">
        <v>51</v>
      </c>
      <c r="D25" s="10">
        <v>2.0</v>
      </c>
      <c r="E25" s="10">
        <v>1.0</v>
      </c>
      <c r="F25" s="10">
        <v>0.0</v>
      </c>
      <c r="G25" s="10">
        <v>1.0</v>
      </c>
    </row>
    <row r="26">
      <c r="C26" s="10" t="s">
        <v>52</v>
      </c>
      <c r="D26" s="10">
        <v>2.0</v>
      </c>
      <c r="E26" s="10">
        <v>1.0</v>
      </c>
      <c r="F26" s="10">
        <v>1.0</v>
      </c>
      <c r="G26" s="10">
        <v>1.0</v>
      </c>
    </row>
    <row r="27">
      <c r="C27" s="10" t="s">
        <v>53</v>
      </c>
      <c r="D27" s="10">
        <v>3.0</v>
      </c>
      <c r="E27" s="10">
        <v>2.0</v>
      </c>
      <c r="F27" s="10">
        <v>2.0</v>
      </c>
      <c r="G27" s="10">
        <v>0.0</v>
      </c>
    </row>
  </sheetData>
  <mergeCells count="2">
    <mergeCell ref="D1:E1"/>
    <mergeCell ref="F1:G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8.88"/>
    <col customWidth="1" min="2" max="2" width="29.63"/>
    <col customWidth="1" min="3" max="3" width="29.0"/>
    <col customWidth="1" min="4" max="4" width="13.75"/>
    <col customWidth="1" min="5" max="5" width="11.13"/>
    <col customWidth="1" min="6" max="6" width="10.75"/>
    <col customWidth="1" min="7" max="7" width="11.13"/>
    <col customWidth="1" min="8" max="13" width="18.88"/>
  </cols>
  <sheetData>
    <row r="1">
      <c r="A1" s="8"/>
      <c r="B1" s="8"/>
      <c r="C1" s="8"/>
      <c r="D1" s="7" t="s">
        <v>54</v>
      </c>
      <c r="F1" s="7" t="s">
        <v>55</v>
      </c>
    </row>
    <row r="2">
      <c r="A2" s="8" t="s">
        <v>9</v>
      </c>
      <c r="B2" s="8" t="s">
        <v>10</v>
      </c>
      <c r="C2" s="8" t="s">
        <v>0</v>
      </c>
      <c r="D2" s="8" t="s">
        <v>11</v>
      </c>
      <c r="E2" s="8" t="s">
        <v>13</v>
      </c>
      <c r="F2" s="8" t="s">
        <v>12</v>
      </c>
      <c r="G2" s="8" t="s">
        <v>14</v>
      </c>
    </row>
    <row r="3">
      <c r="A3" s="9">
        <v>44907.86593223379</v>
      </c>
      <c r="B3" s="10" t="s">
        <v>25</v>
      </c>
      <c r="C3" s="10" t="s">
        <v>26</v>
      </c>
      <c r="D3" s="10">
        <v>2.0</v>
      </c>
      <c r="E3" s="10">
        <v>1.0</v>
      </c>
      <c r="F3" s="10">
        <v>2.0</v>
      </c>
      <c r="G3" s="10">
        <v>0.0</v>
      </c>
    </row>
    <row r="4">
      <c r="A4" s="9">
        <v>44907.866078935185</v>
      </c>
      <c r="B4" s="10" t="s">
        <v>23</v>
      </c>
      <c r="C4" s="10" t="s">
        <v>56</v>
      </c>
      <c r="D4" s="10">
        <v>1.0</v>
      </c>
      <c r="E4" s="10">
        <v>1.0</v>
      </c>
      <c r="F4" s="10">
        <v>2.0</v>
      </c>
      <c r="G4" s="10">
        <v>1.0</v>
      </c>
    </row>
    <row r="5">
      <c r="A5" s="9">
        <v>44907.86662532407</v>
      </c>
      <c r="B5" s="10" t="s">
        <v>57</v>
      </c>
      <c r="C5" s="10" t="s">
        <v>58</v>
      </c>
      <c r="D5" s="10">
        <v>2.0</v>
      </c>
      <c r="E5" s="10">
        <v>0.0</v>
      </c>
      <c r="F5" s="10">
        <v>1.0</v>
      </c>
      <c r="G5" s="10">
        <v>1.0</v>
      </c>
    </row>
    <row r="6">
      <c r="A6" s="9">
        <v>44907.866722754625</v>
      </c>
      <c r="B6" s="10" t="s">
        <v>59</v>
      </c>
      <c r="C6" s="10" t="s">
        <v>60</v>
      </c>
      <c r="D6" s="10">
        <v>1.0</v>
      </c>
      <c r="E6" s="10">
        <v>2.0</v>
      </c>
      <c r="F6" s="10">
        <v>0.0</v>
      </c>
      <c r="G6" s="10">
        <v>1.0</v>
      </c>
    </row>
    <row r="7">
      <c r="A7" s="9">
        <v>44907.86794753472</v>
      </c>
      <c r="B7" s="10" t="s">
        <v>30</v>
      </c>
      <c r="C7" s="10" t="s">
        <v>61</v>
      </c>
      <c r="D7" s="10">
        <v>0.0</v>
      </c>
      <c r="E7" s="10">
        <v>0.0</v>
      </c>
      <c r="F7" s="10">
        <v>2.0</v>
      </c>
      <c r="G7" s="10">
        <v>3.0</v>
      </c>
    </row>
    <row r="8">
      <c r="A8" s="9">
        <v>44907.868873796295</v>
      </c>
      <c r="B8" s="10" t="s">
        <v>21</v>
      </c>
      <c r="C8" s="10" t="s">
        <v>29</v>
      </c>
      <c r="D8" s="10">
        <v>1.0</v>
      </c>
      <c r="E8" s="10">
        <v>2.0</v>
      </c>
      <c r="F8" s="10">
        <v>0.0</v>
      </c>
      <c r="G8" s="10">
        <v>2.0</v>
      </c>
    </row>
    <row r="9">
      <c r="A9" s="9">
        <v>44907.8702546412</v>
      </c>
      <c r="B9" s="10" t="s">
        <v>21</v>
      </c>
      <c r="C9" s="10" t="s">
        <v>62</v>
      </c>
      <c r="D9" s="10">
        <v>1.0</v>
      </c>
      <c r="E9" s="10">
        <v>1.0</v>
      </c>
      <c r="F9" s="10">
        <v>2.0</v>
      </c>
      <c r="G9" s="10">
        <v>0.0</v>
      </c>
    </row>
    <row r="10">
      <c r="A10" s="9">
        <v>44907.870719004626</v>
      </c>
      <c r="B10" s="10" t="s">
        <v>38</v>
      </c>
      <c r="C10" s="10" t="s">
        <v>63</v>
      </c>
      <c r="D10" s="10">
        <v>3.0</v>
      </c>
      <c r="E10" s="10">
        <v>1.0</v>
      </c>
      <c r="F10" s="10">
        <v>2.0</v>
      </c>
      <c r="G10" s="10">
        <v>1.0</v>
      </c>
    </row>
    <row r="11">
      <c r="A11" s="9">
        <v>44907.874470509254</v>
      </c>
      <c r="B11" s="10" t="s">
        <v>19</v>
      </c>
      <c r="C11" s="10" t="s">
        <v>20</v>
      </c>
      <c r="D11" s="10">
        <v>1.0</v>
      </c>
      <c r="E11" s="10">
        <v>0.0</v>
      </c>
      <c r="F11" s="10">
        <v>1.0</v>
      </c>
      <c r="G11" s="10">
        <v>0.0</v>
      </c>
    </row>
    <row r="12">
      <c r="A12" s="9">
        <v>44907.884443877316</v>
      </c>
      <c r="B12" s="10" t="s">
        <v>42</v>
      </c>
      <c r="C12" s="10" t="s">
        <v>43</v>
      </c>
      <c r="D12" s="10">
        <v>2.0</v>
      </c>
      <c r="E12" s="10">
        <v>1.0</v>
      </c>
      <c r="F12" s="10">
        <v>1.0</v>
      </c>
      <c r="G12" s="10">
        <v>0.0</v>
      </c>
    </row>
    <row r="13">
      <c r="A13" s="9">
        <v>44907.89658138889</v>
      </c>
      <c r="B13" s="10" t="s">
        <v>64</v>
      </c>
      <c r="C13" s="10" t="s">
        <v>65</v>
      </c>
      <c r="D13" s="10">
        <v>1.0</v>
      </c>
      <c r="E13" s="10">
        <v>1.0</v>
      </c>
      <c r="F13" s="10">
        <v>1.0</v>
      </c>
      <c r="G13" s="10">
        <v>0.0</v>
      </c>
    </row>
    <row r="14">
      <c r="A14" s="9">
        <v>44907.90295793982</v>
      </c>
      <c r="B14" s="10" t="s">
        <v>66</v>
      </c>
      <c r="C14" s="10" t="s">
        <v>48</v>
      </c>
      <c r="D14" s="10">
        <v>1.0</v>
      </c>
      <c r="E14" s="10">
        <v>2.0</v>
      </c>
      <c r="F14" s="10">
        <v>0.0</v>
      </c>
      <c r="G14" s="10">
        <v>0.0</v>
      </c>
    </row>
    <row r="15">
      <c r="A15" s="9">
        <v>44907.90346377315</v>
      </c>
      <c r="B15" s="10" t="s">
        <v>66</v>
      </c>
      <c r="C15" s="10" t="s">
        <v>49</v>
      </c>
      <c r="D15" s="10">
        <v>0.0</v>
      </c>
      <c r="E15" s="10">
        <v>1.0</v>
      </c>
      <c r="F15" s="10">
        <v>1.0</v>
      </c>
      <c r="G15" s="10">
        <v>1.0</v>
      </c>
    </row>
    <row r="16">
      <c r="A16" s="9">
        <v>44907.96285991898</v>
      </c>
      <c r="B16" s="10" t="s">
        <v>67</v>
      </c>
      <c r="C16" s="10" t="s">
        <v>68</v>
      </c>
      <c r="D16" s="10">
        <v>2.0</v>
      </c>
      <c r="E16" s="10">
        <v>1.0</v>
      </c>
      <c r="F16" s="10">
        <v>2.0</v>
      </c>
      <c r="G16" s="10">
        <v>0.0</v>
      </c>
    </row>
    <row r="17">
      <c r="A17" s="9">
        <v>44907.96729221065</v>
      </c>
      <c r="B17" s="10" t="s">
        <v>69</v>
      </c>
      <c r="C17" s="10" t="s">
        <v>46</v>
      </c>
      <c r="D17" s="10">
        <v>1.0</v>
      </c>
      <c r="E17" s="10">
        <v>2.0</v>
      </c>
      <c r="F17" s="10">
        <v>2.0</v>
      </c>
      <c r="G17" s="10">
        <v>0.0</v>
      </c>
    </row>
    <row r="18">
      <c r="A18" s="9">
        <v>44907.98802157407</v>
      </c>
      <c r="B18" s="10" t="s">
        <v>70</v>
      </c>
      <c r="C18" s="10" t="s">
        <v>47</v>
      </c>
      <c r="D18" s="10">
        <v>1.0</v>
      </c>
      <c r="E18" s="10">
        <v>1.0</v>
      </c>
      <c r="F18" s="10">
        <v>1.0</v>
      </c>
      <c r="G18" s="10">
        <v>0.0</v>
      </c>
    </row>
    <row r="19">
      <c r="A19" s="9">
        <v>44907.996985543985</v>
      </c>
      <c r="B19" s="10" t="s">
        <v>71</v>
      </c>
      <c r="C19" s="10" t="s">
        <v>72</v>
      </c>
      <c r="D19" s="10">
        <v>3.0</v>
      </c>
      <c r="E19" s="10">
        <v>3.0</v>
      </c>
      <c r="F19" s="10">
        <v>2.0</v>
      </c>
      <c r="G19" s="10">
        <v>2.0</v>
      </c>
    </row>
    <row r="20">
      <c r="A20" s="9">
        <v>44908.17589209491</v>
      </c>
      <c r="B20" s="10" t="s">
        <v>15</v>
      </c>
      <c r="C20" s="10" t="s">
        <v>73</v>
      </c>
      <c r="D20" s="10">
        <v>1.0</v>
      </c>
      <c r="E20" s="10">
        <v>1.0</v>
      </c>
      <c r="F20" s="10">
        <v>2.0</v>
      </c>
      <c r="G20" s="10">
        <v>1.0</v>
      </c>
    </row>
    <row r="21">
      <c r="A21" s="9">
        <v>44908.34275811343</v>
      </c>
      <c r="B21" s="10" t="s">
        <v>74</v>
      </c>
      <c r="C21" s="10" t="s">
        <v>75</v>
      </c>
      <c r="D21" s="10">
        <v>3.0</v>
      </c>
      <c r="E21" s="10">
        <v>1.0</v>
      </c>
      <c r="F21" s="10">
        <v>0.0</v>
      </c>
      <c r="G21" s="10">
        <v>0.0</v>
      </c>
    </row>
    <row r="22">
      <c r="A22" s="9">
        <v>44908.361575347226</v>
      </c>
      <c r="B22" s="10" t="s">
        <v>76</v>
      </c>
      <c r="C22" s="10" t="s">
        <v>77</v>
      </c>
      <c r="D22" s="10">
        <v>1.0</v>
      </c>
      <c r="E22" s="10">
        <v>2.0</v>
      </c>
      <c r="F22" s="10">
        <v>3.0</v>
      </c>
      <c r="G22" s="10">
        <v>1.0</v>
      </c>
    </row>
    <row r="23">
      <c r="A23" s="9">
        <v>44908.383687395835</v>
      </c>
      <c r="B23" s="10" t="s">
        <v>40</v>
      </c>
      <c r="C23" s="10" t="s">
        <v>78</v>
      </c>
      <c r="D23" s="10">
        <v>2.0</v>
      </c>
      <c r="E23" s="10">
        <v>1.0</v>
      </c>
      <c r="F23" s="10">
        <v>1.0</v>
      </c>
      <c r="G23" s="10">
        <v>0.0</v>
      </c>
    </row>
    <row r="24">
      <c r="A24" s="9">
        <v>44908.4742430787</v>
      </c>
      <c r="B24" s="10" t="s">
        <v>79</v>
      </c>
      <c r="C24" s="10" t="s">
        <v>80</v>
      </c>
      <c r="D24" s="10">
        <v>2.0</v>
      </c>
      <c r="E24" s="10">
        <v>0.0</v>
      </c>
      <c r="F24" s="10">
        <v>1.0</v>
      </c>
      <c r="G24" s="10">
        <v>2.0</v>
      </c>
    </row>
    <row r="25">
      <c r="A25" s="9">
        <v>44908.690453958334</v>
      </c>
      <c r="B25" s="10" t="s">
        <v>81</v>
      </c>
      <c r="C25" s="10" t="s">
        <v>82</v>
      </c>
      <c r="D25" s="10">
        <v>2.0</v>
      </c>
      <c r="E25" s="10">
        <v>1.0</v>
      </c>
      <c r="F25" s="10">
        <v>1.0</v>
      </c>
      <c r="G25" s="10">
        <v>2.0</v>
      </c>
    </row>
    <row r="26">
      <c r="A26" s="9">
        <v>44908.69103306713</v>
      </c>
      <c r="B26" s="10" t="s">
        <v>83</v>
      </c>
      <c r="C26" s="10" t="s">
        <v>50</v>
      </c>
      <c r="D26" s="10">
        <v>2.0</v>
      </c>
      <c r="E26" s="10">
        <v>0.0</v>
      </c>
      <c r="F26" s="10">
        <v>0.0</v>
      </c>
      <c r="G26" s="10">
        <v>1.0</v>
      </c>
    </row>
    <row r="27">
      <c r="A27" s="9">
        <v>44908.691728668986</v>
      </c>
      <c r="B27" s="10" t="s">
        <v>83</v>
      </c>
      <c r="C27" s="10" t="s">
        <v>51</v>
      </c>
      <c r="D27" s="10">
        <v>1.0</v>
      </c>
      <c r="E27" s="10">
        <v>1.0</v>
      </c>
      <c r="F27" s="10">
        <v>0.0</v>
      </c>
      <c r="G27" s="10">
        <v>1.0</v>
      </c>
    </row>
    <row r="28">
      <c r="A28" s="9">
        <v>44908.69350217593</v>
      </c>
      <c r="B28" s="10" t="s">
        <v>81</v>
      </c>
      <c r="C28" s="10" t="s">
        <v>84</v>
      </c>
      <c r="D28" s="10">
        <v>1.0</v>
      </c>
      <c r="E28" s="10">
        <v>2.0</v>
      </c>
      <c r="F28" s="10">
        <v>2.0</v>
      </c>
      <c r="G28" s="10">
        <v>1.0</v>
      </c>
    </row>
    <row r="29">
      <c r="A29" s="9">
        <v>44908.694218425924</v>
      </c>
      <c r="B29" s="10" t="s">
        <v>81</v>
      </c>
      <c r="C29" s="10" t="s">
        <v>53</v>
      </c>
      <c r="D29" s="10">
        <v>1.0</v>
      </c>
      <c r="E29" s="10">
        <v>1.0</v>
      </c>
      <c r="F29" s="10">
        <v>2.0</v>
      </c>
      <c r="G29" s="10">
        <v>1.0</v>
      </c>
    </row>
    <row r="30">
      <c r="A30" s="9">
        <v>44908.69502533565</v>
      </c>
      <c r="B30" s="10" t="s">
        <v>81</v>
      </c>
      <c r="C30" s="10" t="s">
        <v>85</v>
      </c>
      <c r="D30" s="10">
        <v>1.0</v>
      </c>
      <c r="E30" s="10">
        <v>2.0</v>
      </c>
      <c r="F30" s="10">
        <v>3.0</v>
      </c>
      <c r="G30" s="10">
        <v>0.0</v>
      </c>
    </row>
    <row r="31">
      <c r="A31" s="9">
        <v>44908.69801104166</v>
      </c>
      <c r="B31" s="10" t="s">
        <v>81</v>
      </c>
      <c r="C31" s="10" t="s">
        <v>86</v>
      </c>
      <c r="D31" s="10">
        <v>2.0</v>
      </c>
      <c r="E31" s="10">
        <v>1.0</v>
      </c>
      <c r="F31" s="10">
        <v>3.0</v>
      </c>
      <c r="G31" s="10">
        <v>0.0</v>
      </c>
    </row>
    <row r="32">
      <c r="C32" s="10"/>
      <c r="D32" s="10"/>
      <c r="E32" s="10"/>
      <c r="F32" s="10"/>
      <c r="G32" s="10"/>
    </row>
    <row r="33">
      <c r="C33" s="11" t="s">
        <v>82</v>
      </c>
      <c r="D33" s="10">
        <v>2.0</v>
      </c>
      <c r="E33" s="10">
        <v>1.0</v>
      </c>
      <c r="F33" s="10">
        <v>2.0</v>
      </c>
      <c r="G33" s="10">
        <v>1.0</v>
      </c>
    </row>
    <row r="34">
      <c r="C34" s="11" t="s">
        <v>50</v>
      </c>
      <c r="D34" s="10">
        <v>2.0</v>
      </c>
      <c r="E34" s="10">
        <v>0.0</v>
      </c>
      <c r="F34" s="10">
        <v>0.0</v>
      </c>
      <c r="G34" s="10">
        <v>1.0</v>
      </c>
    </row>
    <row r="35">
      <c r="C35" s="11" t="s">
        <v>51</v>
      </c>
      <c r="D35" s="10">
        <v>1.0</v>
      </c>
      <c r="E35" s="10">
        <v>1.0</v>
      </c>
      <c r="F35" s="10">
        <v>0.0</v>
      </c>
      <c r="G35" s="10">
        <v>1.0</v>
      </c>
    </row>
    <row r="36">
      <c r="C36" s="11" t="s">
        <v>87</v>
      </c>
      <c r="D36" s="10">
        <v>1.0</v>
      </c>
      <c r="E36" s="10">
        <v>2.0</v>
      </c>
      <c r="F36" s="10">
        <v>2.0</v>
      </c>
      <c r="G36" s="10">
        <v>1.0</v>
      </c>
    </row>
    <row r="37">
      <c r="C37" s="11" t="s">
        <v>53</v>
      </c>
      <c r="D37" s="10">
        <v>1.0</v>
      </c>
      <c r="E37" s="10">
        <v>1.0</v>
      </c>
      <c r="F37" s="10">
        <v>2.0</v>
      </c>
      <c r="G37" s="10">
        <v>1.0</v>
      </c>
    </row>
    <row r="38">
      <c r="C38" s="12" t="s">
        <v>88</v>
      </c>
      <c r="D38" s="10">
        <v>1.0</v>
      </c>
      <c r="E38" s="10">
        <v>2.0</v>
      </c>
      <c r="F38" s="10">
        <v>3.0</v>
      </c>
      <c r="G38" s="10">
        <v>0.0</v>
      </c>
    </row>
    <row r="39">
      <c r="C39" s="10" t="s">
        <v>52</v>
      </c>
      <c r="D39" s="10">
        <v>2.0</v>
      </c>
      <c r="E39" s="10">
        <v>1.0</v>
      </c>
      <c r="F39" s="10">
        <v>3.0</v>
      </c>
      <c r="G39" s="10">
        <v>0.0</v>
      </c>
    </row>
  </sheetData>
  <mergeCells count="2">
    <mergeCell ref="D1:E1"/>
    <mergeCell ref="F1:G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8.88"/>
    <col customWidth="1" min="2" max="2" width="28.75"/>
    <col customWidth="1" min="3" max="3" width="34.25"/>
    <col customWidth="1" min="4" max="17" width="18.88"/>
  </cols>
  <sheetData>
    <row r="1">
      <c r="A1" s="6"/>
      <c r="B1" s="6"/>
      <c r="C1" s="6"/>
      <c r="D1" s="13" t="s">
        <v>89</v>
      </c>
      <c r="F1" s="14" t="s">
        <v>90</v>
      </c>
      <c r="H1" s="13" t="s">
        <v>91</v>
      </c>
      <c r="J1" s="14" t="s">
        <v>92</v>
      </c>
    </row>
    <row r="2">
      <c r="A2" s="6" t="s">
        <v>9</v>
      </c>
      <c r="B2" s="6" t="s">
        <v>10</v>
      </c>
      <c r="C2" s="6" t="s">
        <v>0</v>
      </c>
      <c r="D2" s="15" t="s">
        <v>13</v>
      </c>
      <c r="E2" s="15" t="s">
        <v>93</v>
      </c>
      <c r="F2" s="16" t="s">
        <v>11</v>
      </c>
      <c r="G2" s="16" t="s">
        <v>94</v>
      </c>
      <c r="H2" s="15" t="s">
        <v>14</v>
      </c>
      <c r="I2" s="15" t="s">
        <v>95</v>
      </c>
      <c r="J2" s="16" t="s">
        <v>96</v>
      </c>
      <c r="K2" s="16" t="s">
        <v>12</v>
      </c>
    </row>
    <row r="3">
      <c r="A3" s="9">
        <v>44903.538471712964</v>
      </c>
      <c r="B3" s="10" t="s">
        <v>59</v>
      </c>
      <c r="C3" s="10" t="s">
        <v>60</v>
      </c>
      <c r="D3" s="17">
        <v>1.0</v>
      </c>
      <c r="E3" s="17">
        <v>4.0</v>
      </c>
      <c r="F3" s="17">
        <v>2.0</v>
      </c>
      <c r="G3" s="17">
        <v>3.0</v>
      </c>
      <c r="H3" s="17">
        <v>1.0</v>
      </c>
      <c r="I3" s="17">
        <v>2.0</v>
      </c>
      <c r="J3" s="17">
        <v>1.0</v>
      </c>
      <c r="K3" s="17">
        <v>2.0</v>
      </c>
    </row>
    <row r="4">
      <c r="A4" s="9">
        <v>44903.54203494213</v>
      </c>
      <c r="B4" s="10" t="s">
        <v>40</v>
      </c>
      <c r="C4" s="10" t="s">
        <v>78</v>
      </c>
      <c r="D4" s="17">
        <v>1.0</v>
      </c>
      <c r="E4" s="17">
        <v>2.0</v>
      </c>
      <c r="F4" s="17">
        <v>2.0</v>
      </c>
      <c r="G4" s="17">
        <v>1.0</v>
      </c>
      <c r="H4" s="17">
        <v>0.0</v>
      </c>
      <c r="I4" s="17">
        <v>3.0</v>
      </c>
      <c r="J4" s="17">
        <v>1.0</v>
      </c>
      <c r="K4" s="17">
        <v>2.0</v>
      </c>
    </row>
    <row r="5">
      <c r="A5" s="9">
        <v>44903.545518506944</v>
      </c>
      <c r="B5" s="10" t="s">
        <v>42</v>
      </c>
      <c r="C5" s="10" t="s">
        <v>43</v>
      </c>
      <c r="D5" s="17">
        <v>1.0</v>
      </c>
      <c r="E5" s="17">
        <v>3.0</v>
      </c>
      <c r="F5" s="17">
        <v>2.0</v>
      </c>
      <c r="G5" s="17">
        <v>1.0</v>
      </c>
      <c r="H5" s="17">
        <v>1.0</v>
      </c>
      <c r="I5" s="17">
        <v>2.0</v>
      </c>
      <c r="J5" s="17">
        <v>2.0</v>
      </c>
      <c r="K5" s="17">
        <v>2.0</v>
      </c>
    </row>
    <row r="6">
      <c r="A6" s="9">
        <v>44903.54989363426</v>
      </c>
      <c r="B6" s="10" t="s">
        <v>79</v>
      </c>
      <c r="C6" s="10" t="s">
        <v>80</v>
      </c>
      <c r="D6" s="17">
        <v>1.0</v>
      </c>
      <c r="E6" s="17">
        <v>1.0</v>
      </c>
      <c r="F6" s="17">
        <v>2.0</v>
      </c>
      <c r="G6" s="17">
        <v>0.0</v>
      </c>
      <c r="H6" s="17">
        <v>2.0</v>
      </c>
      <c r="I6" s="17">
        <v>1.0</v>
      </c>
      <c r="J6" s="17">
        <v>1.0</v>
      </c>
      <c r="K6" s="17">
        <v>2.0</v>
      </c>
    </row>
    <row r="7">
      <c r="A7" s="9">
        <v>44903.552259965276</v>
      </c>
      <c r="B7" s="10" t="s">
        <v>15</v>
      </c>
      <c r="C7" s="10" t="s">
        <v>73</v>
      </c>
      <c r="D7" s="17">
        <v>0.0</v>
      </c>
      <c r="E7" s="17">
        <v>1.0</v>
      </c>
      <c r="F7" s="17">
        <v>1.0</v>
      </c>
      <c r="G7" s="17">
        <v>1.0</v>
      </c>
      <c r="H7" s="17">
        <v>1.0</v>
      </c>
      <c r="I7" s="17">
        <v>2.0</v>
      </c>
      <c r="J7" s="17">
        <v>1.0</v>
      </c>
      <c r="K7" s="17">
        <v>1.0</v>
      </c>
    </row>
    <row r="8">
      <c r="A8" s="9">
        <v>44903.56101744213</v>
      </c>
      <c r="B8" s="10" t="s">
        <v>30</v>
      </c>
      <c r="C8" s="10" t="s">
        <v>61</v>
      </c>
      <c r="D8" s="17">
        <v>1.0</v>
      </c>
      <c r="E8" s="17">
        <v>5.0</v>
      </c>
      <c r="F8" s="17">
        <v>2.0</v>
      </c>
      <c r="G8" s="17">
        <v>2.0</v>
      </c>
      <c r="H8" s="17">
        <v>1.0</v>
      </c>
      <c r="I8" s="17">
        <v>3.0</v>
      </c>
      <c r="J8" s="17">
        <v>1.0</v>
      </c>
      <c r="K8" s="17">
        <v>2.0</v>
      </c>
    </row>
    <row r="9">
      <c r="A9" s="9">
        <v>44903.56322707176</v>
      </c>
      <c r="B9" s="10" t="s">
        <v>21</v>
      </c>
      <c r="C9" s="10" t="s">
        <v>29</v>
      </c>
      <c r="D9" s="17">
        <v>2.0</v>
      </c>
      <c r="E9" s="17">
        <v>0.0</v>
      </c>
      <c r="F9" s="17">
        <v>1.0</v>
      </c>
      <c r="G9" s="17">
        <v>3.0</v>
      </c>
      <c r="H9" s="17">
        <v>2.0</v>
      </c>
      <c r="I9" s="17">
        <v>0.0</v>
      </c>
      <c r="J9" s="17">
        <v>2.0</v>
      </c>
      <c r="K9" s="17">
        <v>2.0</v>
      </c>
    </row>
    <row r="10">
      <c r="A10" s="9">
        <v>44903.70272188657</v>
      </c>
      <c r="B10" s="10" t="s">
        <v>74</v>
      </c>
      <c r="C10" s="10" t="s">
        <v>45</v>
      </c>
      <c r="D10" s="17">
        <v>1.0</v>
      </c>
      <c r="E10" s="17">
        <v>2.0</v>
      </c>
      <c r="F10" s="17">
        <v>2.0</v>
      </c>
      <c r="G10" s="17">
        <v>1.0</v>
      </c>
      <c r="H10" s="17">
        <v>3.0</v>
      </c>
      <c r="I10" s="17">
        <v>2.0</v>
      </c>
      <c r="J10" s="17">
        <v>0.0</v>
      </c>
      <c r="K10" s="17">
        <v>2.0</v>
      </c>
    </row>
    <row r="11">
      <c r="A11" s="9">
        <v>44903.74632145833</v>
      </c>
      <c r="B11" s="10" t="s">
        <v>27</v>
      </c>
      <c r="C11" s="10" t="s">
        <v>68</v>
      </c>
      <c r="D11" s="17">
        <v>1.0</v>
      </c>
      <c r="E11" s="17">
        <v>3.0</v>
      </c>
      <c r="F11" s="17">
        <v>2.0</v>
      </c>
      <c r="G11" s="17">
        <v>1.0</v>
      </c>
      <c r="H11" s="17">
        <v>0.0</v>
      </c>
      <c r="I11" s="17">
        <v>2.0</v>
      </c>
      <c r="J11" s="17">
        <v>2.0</v>
      </c>
      <c r="K11" s="17">
        <v>2.0</v>
      </c>
    </row>
    <row r="12">
      <c r="A12" s="9">
        <v>44903.775260995375</v>
      </c>
      <c r="B12" s="10" t="s">
        <v>76</v>
      </c>
      <c r="C12" s="10" t="s">
        <v>77</v>
      </c>
      <c r="D12" s="17">
        <v>1.0</v>
      </c>
      <c r="E12" s="17">
        <v>3.0</v>
      </c>
      <c r="F12" s="17">
        <v>1.0</v>
      </c>
      <c r="G12" s="17">
        <v>0.0</v>
      </c>
      <c r="H12" s="17">
        <v>1.0</v>
      </c>
      <c r="I12" s="17">
        <v>2.0</v>
      </c>
      <c r="J12" s="17">
        <v>2.0</v>
      </c>
      <c r="K12" s="17">
        <v>2.0</v>
      </c>
    </row>
    <row r="13">
      <c r="A13" s="9">
        <v>44903.805186840276</v>
      </c>
      <c r="B13" s="10" t="s">
        <v>17</v>
      </c>
      <c r="C13" s="10" t="s">
        <v>58</v>
      </c>
      <c r="D13" s="17">
        <v>1.0</v>
      </c>
      <c r="E13" s="17">
        <v>3.0</v>
      </c>
      <c r="F13" s="17">
        <v>5.0</v>
      </c>
      <c r="G13" s="17">
        <v>0.0</v>
      </c>
      <c r="H13" s="17">
        <v>1.0</v>
      </c>
      <c r="I13" s="17">
        <v>1.0</v>
      </c>
      <c r="J13" s="17">
        <v>2.0</v>
      </c>
      <c r="K13" s="17">
        <v>2.0</v>
      </c>
    </row>
    <row r="14">
      <c r="A14" s="9">
        <v>44903.809726203704</v>
      </c>
      <c r="B14" s="10" t="s">
        <v>25</v>
      </c>
      <c r="C14" s="10" t="s">
        <v>26</v>
      </c>
      <c r="D14" s="17">
        <v>1.0</v>
      </c>
      <c r="E14" s="17">
        <v>3.0</v>
      </c>
      <c r="F14" s="17">
        <v>1.0</v>
      </c>
      <c r="G14" s="17">
        <v>2.0</v>
      </c>
      <c r="H14" s="17">
        <v>0.0</v>
      </c>
      <c r="I14" s="17">
        <v>2.0</v>
      </c>
      <c r="J14" s="17">
        <v>1.0</v>
      </c>
      <c r="K14" s="17">
        <v>2.0</v>
      </c>
    </row>
    <row r="15">
      <c r="A15" s="9">
        <v>44903.83179996528</v>
      </c>
      <c r="B15" s="10" t="s">
        <v>69</v>
      </c>
      <c r="C15" s="10" t="s">
        <v>46</v>
      </c>
      <c r="D15" s="17">
        <v>1.0</v>
      </c>
      <c r="E15" s="17">
        <v>3.0</v>
      </c>
      <c r="F15" s="17">
        <v>1.0</v>
      </c>
      <c r="G15" s="17">
        <v>1.0</v>
      </c>
      <c r="H15" s="17">
        <v>1.0</v>
      </c>
      <c r="I15" s="17">
        <v>2.0</v>
      </c>
      <c r="J15" s="17">
        <v>2.0</v>
      </c>
      <c r="K15" s="17">
        <v>2.0</v>
      </c>
    </row>
    <row r="16">
      <c r="A16" s="9">
        <v>44903.860523344905</v>
      </c>
      <c r="B16" s="10" t="s">
        <v>21</v>
      </c>
      <c r="C16" s="10" t="s">
        <v>62</v>
      </c>
      <c r="D16" s="17">
        <v>1.0</v>
      </c>
      <c r="E16" s="17">
        <v>3.0</v>
      </c>
      <c r="F16" s="17">
        <v>2.0</v>
      </c>
      <c r="G16" s="17">
        <v>1.0</v>
      </c>
      <c r="H16" s="17">
        <v>0.0</v>
      </c>
      <c r="I16" s="17">
        <v>2.0</v>
      </c>
      <c r="J16" s="17">
        <v>1.0</v>
      </c>
      <c r="K16" s="17">
        <v>2.0</v>
      </c>
    </row>
    <row r="17">
      <c r="A17" s="9">
        <v>44903.907239004635</v>
      </c>
      <c r="B17" s="10" t="s">
        <v>34</v>
      </c>
      <c r="C17" s="10" t="s">
        <v>85</v>
      </c>
      <c r="D17" s="17">
        <v>1.0</v>
      </c>
      <c r="E17" s="17">
        <v>2.0</v>
      </c>
      <c r="F17" s="17">
        <v>2.0</v>
      </c>
      <c r="G17" s="17">
        <v>2.0</v>
      </c>
      <c r="H17" s="17">
        <v>1.0</v>
      </c>
      <c r="I17" s="17">
        <v>3.0</v>
      </c>
      <c r="J17" s="17">
        <v>3.0</v>
      </c>
      <c r="K17" s="17">
        <v>1.0</v>
      </c>
    </row>
    <row r="18">
      <c r="A18" s="9">
        <v>44903.92041815972</v>
      </c>
      <c r="B18" s="10" t="s">
        <v>19</v>
      </c>
      <c r="C18" s="10" t="s">
        <v>97</v>
      </c>
      <c r="D18" s="17">
        <v>1.0</v>
      </c>
      <c r="E18" s="17">
        <v>2.0</v>
      </c>
      <c r="F18" s="17">
        <v>1.0</v>
      </c>
      <c r="G18" s="17">
        <v>0.0</v>
      </c>
      <c r="H18" s="17">
        <v>2.0</v>
      </c>
      <c r="I18" s="17">
        <v>0.0</v>
      </c>
      <c r="J18" s="17">
        <v>2.0</v>
      </c>
      <c r="K18" s="17">
        <v>2.0</v>
      </c>
    </row>
    <row r="19">
      <c r="A19" s="9">
        <v>44903.93044490741</v>
      </c>
      <c r="B19" s="10" t="s">
        <v>71</v>
      </c>
      <c r="C19" s="10" t="s">
        <v>72</v>
      </c>
      <c r="D19" s="17">
        <v>2.0</v>
      </c>
      <c r="E19" s="17">
        <v>3.0</v>
      </c>
      <c r="F19" s="17">
        <v>1.0</v>
      </c>
      <c r="G19" s="17">
        <v>1.0</v>
      </c>
      <c r="H19" s="17">
        <v>1.0</v>
      </c>
      <c r="I19" s="17">
        <v>3.0</v>
      </c>
      <c r="J19" s="17">
        <v>2.0</v>
      </c>
      <c r="K19" s="17">
        <v>2.0</v>
      </c>
    </row>
    <row r="20">
      <c r="A20" s="9">
        <v>44903.932225868055</v>
      </c>
      <c r="B20" s="10" t="s">
        <v>98</v>
      </c>
      <c r="C20" s="10" t="s">
        <v>47</v>
      </c>
      <c r="D20" s="17">
        <v>1.0</v>
      </c>
      <c r="E20" s="17">
        <v>3.0</v>
      </c>
      <c r="F20" s="17">
        <v>2.0</v>
      </c>
      <c r="G20" s="17">
        <v>1.0</v>
      </c>
      <c r="H20" s="17">
        <v>0.0</v>
      </c>
      <c r="I20" s="17">
        <v>1.0</v>
      </c>
      <c r="J20" s="17">
        <v>1.0</v>
      </c>
      <c r="K20" s="17">
        <v>2.0</v>
      </c>
    </row>
    <row r="21">
      <c r="A21" s="9">
        <v>44903.9404115625</v>
      </c>
      <c r="B21" s="10" t="s">
        <v>64</v>
      </c>
      <c r="C21" s="10" t="s">
        <v>65</v>
      </c>
      <c r="D21" s="17">
        <v>1.0</v>
      </c>
      <c r="E21" s="17">
        <v>3.0</v>
      </c>
      <c r="F21" s="17">
        <v>2.0</v>
      </c>
      <c r="G21" s="17">
        <v>2.0</v>
      </c>
      <c r="H21" s="17">
        <v>0.0</v>
      </c>
      <c r="I21" s="17">
        <v>0.0</v>
      </c>
      <c r="J21" s="17">
        <v>2.0</v>
      </c>
      <c r="K21" s="17">
        <v>1.0</v>
      </c>
    </row>
    <row r="22">
      <c r="A22" s="9">
        <v>44904.38621340277</v>
      </c>
      <c r="B22" s="10" t="s">
        <v>38</v>
      </c>
      <c r="C22" s="10" t="s">
        <v>63</v>
      </c>
      <c r="D22" s="17">
        <v>1.0</v>
      </c>
      <c r="E22" s="17">
        <v>3.0</v>
      </c>
      <c r="F22" s="17">
        <v>2.0</v>
      </c>
      <c r="G22" s="17">
        <v>1.0</v>
      </c>
      <c r="H22" s="17">
        <v>2.0</v>
      </c>
      <c r="I22" s="17">
        <v>2.0</v>
      </c>
      <c r="J22" s="17">
        <v>3.0</v>
      </c>
      <c r="K22" s="17">
        <v>2.0</v>
      </c>
    </row>
    <row r="23">
      <c r="C23" s="10" t="s">
        <v>50</v>
      </c>
      <c r="D23" s="17">
        <v>0.0</v>
      </c>
      <c r="E23" s="17">
        <v>3.0</v>
      </c>
      <c r="F23" s="17">
        <v>2.0</v>
      </c>
      <c r="G23" s="17">
        <v>0.0</v>
      </c>
      <c r="H23" s="17">
        <v>1.0</v>
      </c>
      <c r="I23" s="17">
        <v>1.0</v>
      </c>
      <c r="J23" s="17">
        <v>1.0</v>
      </c>
      <c r="K23" s="17">
        <v>2.0</v>
      </c>
    </row>
    <row r="24">
      <c r="C24" s="10" t="s">
        <v>84</v>
      </c>
      <c r="D24" s="17">
        <v>2.0</v>
      </c>
      <c r="E24" s="17">
        <v>3.0</v>
      </c>
      <c r="F24" s="17">
        <v>1.0</v>
      </c>
      <c r="G24" s="17">
        <v>2.0</v>
      </c>
      <c r="H24" s="17">
        <v>0.0</v>
      </c>
      <c r="I24" s="17">
        <v>1.0</v>
      </c>
      <c r="J24" s="17">
        <v>2.0</v>
      </c>
      <c r="K24" s="17">
        <v>2.0</v>
      </c>
    </row>
    <row r="25">
      <c r="C25" s="10" t="s">
        <v>56</v>
      </c>
      <c r="D25" s="17">
        <v>1.0</v>
      </c>
      <c r="E25" s="17">
        <v>4.0</v>
      </c>
      <c r="F25" s="17">
        <v>3.0</v>
      </c>
      <c r="G25" s="17">
        <v>1.0</v>
      </c>
      <c r="H25" s="17">
        <v>2.0</v>
      </c>
      <c r="I25" s="17">
        <v>2.0</v>
      </c>
      <c r="J25" s="17">
        <v>1.0</v>
      </c>
      <c r="K25" s="17">
        <v>3.0</v>
      </c>
    </row>
    <row r="26">
      <c r="C26" s="10" t="s">
        <v>48</v>
      </c>
      <c r="D26" s="17">
        <v>0.0</v>
      </c>
      <c r="E26" s="17">
        <v>3.0</v>
      </c>
      <c r="F26" s="17">
        <v>1.0</v>
      </c>
      <c r="G26" s="17">
        <v>2.0</v>
      </c>
      <c r="H26" s="17">
        <v>1.0</v>
      </c>
      <c r="I26" s="17">
        <v>3.0</v>
      </c>
      <c r="J26" s="17">
        <v>3.0</v>
      </c>
      <c r="K26" s="17">
        <v>2.0</v>
      </c>
    </row>
    <row r="27">
      <c r="C27" s="10" t="s">
        <v>49</v>
      </c>
      <c r="D27" s="17">
        <v>0.0</v>
      </c>
      <c r="E27" s="17">
        <v>3.0</v>
      </c>
      <c r="F27" s="17">
        <v>2.0</v>
      </c>
      <c r="G27" s="17">
        <v>1.0</v>
      </c>
      <c r="H27" s="17">
        <v>1.0</v>
      </c>
      <c r="I27" s="17">
        <v>2.0</v>
      </c>
      <c r="J27" s="17">
        <v>2.0</v>
      </c>
      <c r="K27" s="17">
        <v>2.0</v>
      </c>
    </row>
    <row r="28">
      <c r="C28" s="10" t="s">
        <v>53</v>
      </c>
      <c r="D28" s="17">
        <v>0.0</v>
      </c>
      <c r="E28" s="17">
        <v>2.0</v>
      </c>
      <c r="F28" s="17">
        <v>1.0</v>
      </c>
      <c r="G28" s="17">
        <v>1.0</v>
      </c>
      <c r="H28" s="17">
        <v>1.0</v>
      </c>
      <c r="I28" s="17">
        <v>2.0</v>
      </c>
      <c r="J28" s="17">
        <v>1.0</v>
      </c>
      <c r="K28" s="17">
        <v>2.0</v>
      </c>
    </row>
    <row r="29">
      <c r="C29" s="10" t="s">
        <v>52</v>
      </c>
      <c r="D29" s="17">
        <v>1.0</v>
      </c>
      <c r="E29" s="17">
        <v>3.0</v>
      </c>
      <c r="F29" s="17">
        <v>2.0</v>
      </c>
      <c r="G29" s="17">
        <v>2.0</v>
      </c>
      <c r="H29" s="17">
        <v>1.0</v>
      </c>
      <c r="I29" s="17">
        <v>1.0</v>
      </c>
      <c r="J29" s="17">
        <v>2.0</v>
      </c>
      <c r="K29" s="17">
        <v>3.0</v>
      </c>
    </row>
    <row r="30">
      <c r="C30" s="10" t="s">
        <v>82</v>
      </c>
      <c r="D30" s="17">
        <v>0.0</v>
      </c>
      <c r="E30" s="17">
        <v>2.0</v>
      </c>
      <c r="F30" s="17">
        <v>1.0</v>
      </c>
      <c r="G30" s="17">
        <v>0.0</v>
      </c>
      <c r="H30" s="17">
        <v>1.0</v>
      </c>
      <c r="I30" s="17">
        <v>2.0</v>
      </c>
      <c r="J30" s="17">
        <v>2.0</v>
      </c>
      <c r="K30" s="17">
        <v>3.0</v>
      </c>
    </row>
    <row r="31">
      <c r="C31" s="10" t="s">
        <v>51</v>
      </c>
      <c r="D31" s="17">
        <v>0.0</v>
      </c>
      <c r="E31" s="17">
        <v>3.0</v>
      </c>
      <c r="F31" s="17">
        <v>2.0</v>
      </c>
      <c r="G31" s="17">
        <v>2.0</v>
      </c>
      <c r="H31" s="17">
        <v>1.0</v>
      </c>
      <c r="I31" s="17">
        <v>2.0</v>
      </c>
      <c r="J31" s="17">
        <v>1.0</v>
      </c>
      <c r="K31" s="17">
        <v>1.0</v>
      </c>
    </row>
    <row r="32">
      <c r="D32" s="4"/>
      <c r="E32" s="4"/>
      <c r="F32" s="4"/>
      <c r="G32" s="4"/>
      <c r="H32" s="4"/>
      <c r="I32" s="4"/>
      <c r="J32" s="4"/>
      <c r="K32" s="4"/>
    </row>
    <row r="33">
      <c r="D33" s="4"/>
      <c r="E33" s="4"/>
      <c r="F33" s="4"/>
      <c r="G33" s="4"/>
      <c r="H33" s="4"/>
      <c r="I33" s="4"/>
      <c r="J33" s="4"/>
      <c r="K33" s="4"/>
    </row>
    <row r="34">
      <c r="D34" s="4"/>
      <c r="E34" s="4"/>
      <c r="F34" s="4"/>
      <c r="G34" s="4"/>
      <c r="H34" s="4"/>
      <c r="I34" s="4"/>
      <c r="J34" s="4"/>
      <c r="K34" s="4"/>
    </row>
    <row r="35">
      <c r="D35" s="4"/>
      <c r="E35" s="4"/>
      <c r="F35" s="4"/>
      <c r="G35" s="4"/>
      <c r="H35" s="4"/>
      <c r="I35" s="4"/>
      <c r="J35" s="4"/>
      <c r="K35" s="4"/>
    </row>
    <row r="36">
      <c r="D36" s="4"/>
      <c r="E36" s="4"/>
      <c r="F36" s="4"/>
      <c r="G36" s="4"/>
      <c r="H36" s="4"/>
      <c r="I36" s="4"/>
      <c r="J36" s="4"/>
      <c r="K36" s="4"/>
    </row>
    <row r="37">
      <c r="D37" s="4"/>
      <c r="E37" s="4"/>
      <c r="F37" s="4"/>
      <c r="G37" s="4"/>
      <c r="H37" s="4"/>
      <c r="I37" s="4"/>
      <c r="J37" s="4"/>
      <c r="K37" s="4"/>
    </row>
    <row r="38">
      <c r="D38" s="4"/>
      <c r="E38" s="4"/>
      <c r="F38" s="4"/>
      <c r="G38" s="4"/>
      <c r="H38" s="4"/>
      <c r="I38" s="4"/>
      <c r="J38" s="4"/>
      <c r="K38" s="4"/>
    </row>
    <row r="39">
      <c r="D39" s="4"/>
      <c r="E39" s="4"/>
      <c r="F39" s="4"/>
      <c r="G39" s="4"/>
      <c r="H39" s="4"/>
      <c r="I39" s="4"/>
      <c r="J39" s="4"/>
      <c r="K39" s="4"/>
    </row>
    <row r="40">
      <c r="D40" s="4"/>
      <c r="E40" s="4"/>
      <c r="F40" s="4"/>
      <c r="G40" s="4"/>
      <c r="H40" s="4"/>
      <c r="I40" s="4"/>
      <c r="J40" s="4"/>
      <c r="K40" s="4"/>
    </row>
    <row r="41">
      <c r="D41" s="4"/>
      <c r="E41" s="4"/>
      <c r="F41" s="4"/>
      <c r="G41" s="4"/>
      <c r="H41" s="4"/>
      <c r="I41" s="4"/>
      <c r="J41" s="4"/>
      <c r="K41" s="4"/>
    </row>
    <row r="42">
      <c r="D42" s="4"/>
      <c r="E42" s="4"/>
      <c r="F42" s="4"/>
      <c r="G42" s="4"/>
      <c r="H42" s="4"/>
      <c r="I42" s="4"/>
      <c r="J42" s="4"/>
      <c r="K42" s="4"/>
    </row>
    <row r="43">
      <c r="D43" s="4"/>
      <c r="E43" s="4"/>
      <c r="F43" s="4"/>
      <c r="G43" s="4"/>
      <c r="H43" s="4"/>
      <c r="I43" s="4"/>
      <c r="J43" s="4"/>
      <c r="K43" s="4"/>
    </row>
    <row r="44">
      <c r="D44" s="4"/>
      <c r="E44" s="4"/>
      <c r="F44" s="4"/>
      <c r="G44" s="4"/>
      <c r="H44" s="4"/>
      <c r="I44" s="4"/>
      <c r="J44" s="4"/>
      <c r="K44" s="4"/>
    </row>
    <row r="45">
      <c r="D45" s="4"/>
      <c r="E45" s="4"/>
      <c r="F45" s="4"/>
      <c r="G45" s="4"/>
      <c r="H45" s="4"/>
      <c r="I45" s="4"/>
      <c r="J45" s="4"/>
      <c r="K45" s="4"/>
    </row>
    <row r="46">
      <c r="D46" s="4"/>
      <c r="E46" s="4"/>
      <c r="F46" s="4"/>
      <c r="G46" s="4"/>
      <c r="H46" s="4"/>
      <c r="I46" s="4"/>
      <c r="J46" s="4"/>
      <c r="K46" s="4"/>
    </row>
    <row r="47">
      <c r="D47" s="4"/>
      <c r="E47" s="4"/>
      <c r="F47" s="4"/>
      <c r="G47" s="4"/>
      <c r="H47" s="4"/>
      <c r="I47" s="4"/>
      <c r="J47" s="4"/>
      <c r="K47" s="4"/>
    </row>
    <row r="48">
      <c r="D48" s="4"/>
      <c r="E48" s="4"/>
      <c r="F48" s="4"/>
      <c r="G48" s="4"/>
      <c r="H48" s="4"/>
      <c r="I48" s="4"/>
      <c r="J48" s="4"/>
      <c r="K48" s="4"/>
    </row>
    <row r="49">
      <c r="D49" s="4"/>
      <c r="E49" s="4"/>
      <c r="F49" s="4"/>
      <c r="G49" s="4"/>
      <c r="H49" s="4"/>
      <c r="I49" s="4"/>
      <c r="J49" s="4"/>
      <c r="K49" s="4"/>
    </row>
    <row r="50">
      <c r="D50" s="4"/>
      <c r="E50" s="4"/>
      <c r="F50" s="4"/>
      <c r="G50" s="4"/>
      <c r="H50" s="4"/>
      <c r="I50" s="4"/>
      <c r="J50" s="4"/>
      <c r="K50" s="4"/>
    </row>
    <row r="51">
      <c r="D51" s="4"/>
      <c r="E51" s="4"/>
      <c r="F51" s="4"/>
      <c r="G51" s="4"/>
      <c r="H51" s="4"/>
      <c r="I51" s="4"/>
      <c r="J51" s="4"/>
      <c r="K51" s="4"/>
    </row>
  </sheetData>
  <mergeCells count="4">
    <mergeCell ref="D1:E1"/>
    <mergeCell ref="F1:G1"/>
    <mergeCell ref="H1:I1"/>
    <mergeCell ref="J1:K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8.88"/>
    <col customWidth="1" min="2" max="2" width="25.88"/>
    <col customWidth="1" min="3" max="3" width="32.63"/>
    <col customWidth="1" min="4" max="25" width="18.88"/>
  </cols>
  <sheetData>
    <row r="1">
      <c r="A1" s="6"/>
      <c r="B1" s="6"/>
      <c r="C1" s="6"/>
      <c r="D1" s="18" t="s">
        <v>99</v>
      </c>
      <c r="E1" s="19"/>
      <c r="F1" s="20" t="s">
        <v>100</v>
      </c>
      <c r="G1" s="19"/>
      <c r="H1" s="18" t="s">
        <v>101</v>
      </c>
      <c r="I1" s="19"/>
      <c r="J1" s="20" t="s">
        <v>102</v>
      </c>
      <c r="K1" s="19"/>
      <c r="L1" s="18" t="s">
        <v>103</v>
      </c>
      <c r="M1" s="19"/>
      <c r="N1" s="20" t="s">
        <v>104</v>
      </c>
      <c r="O1" s="19"/>
      <c r="P1" s="18" t="s">
        <v>105</v>
      </c>
      <c r="Q1" s="19"/>
      <c r="R1" s="20" t="s">
        <v>106</v>
      </c>
      <c r="S1" s="19"/>
    </row>
    <row r="2">
      <c r="A2" s="6" t="s">
        <v>9</v>
      </c>
      <c r="B2" s="6" t="s">
        <v>10</v>
      </c>
      <c r="C2" s="6" t="s">
        <v>0</v>
      </c>
      <c r="D2" s="21" t="s">
        <v>94</v>
      </c>
      <c r="E2" s="22" t="s">
        <v>107</v>
      </c>
      <c r="F2" s="23" t="s">
        <v>96</v>
      </c>
      <c r="G2" s="24" t="s">
        <v>108</v>
      </c>
      <c r="H2" s="21" t="s">
        <v>11</v>
      </c>
      <c r="I2" s="22" t="s">
        <v>109</v>
      </c>
      <c r="J2" s="23" t="s">
        <v>12</v>
      </c>
      <c r="K2" s="24" t="s">
        <v>110</v>
      </c>
      <c r="L2" s="21" t="s">
        <v>111</v>
      </c>
      <c r="M2" s="22" t="s">
        <v>13</v>
      </c>
      <c r="N2" s="23" t="s">
        <v>14</v>
      </c>
      <c r="O2" s="24" t="s">
        <v>112</v>
      </c>
      <c r="P2" s="21" t="s">
        <v>93</v>
      </c>
      <c r="Q2" s="22" t="s">
        <v>113</v>
      </c>
      <c r="R2" s="23" t="s">
        <v>95</v>
      </c>
      <c r="S2" s="24" t="s">
        <v>114</v>
      </c>
    </row>
    <row r="3">
      <c r="A3" s="9">
        <v>44897.7600394676</v>
      </c>
      <c r="B3" s="10" t="s">
        <v>15</v>
      </c>
      <c r="C3" s="10" t="s">
        <v>73</v>
      </c>
      <c r="D3" s="10">
        <v>1.0</v>
      </c>
      <c r="E3" s="10">
        <v>0.0</v>
      </c>
      <c r="F3" s="10">
        <v>2.0</v>
      </c>
      <c r="G3" s="10">
        <v>1.0</v>
      </c>
      <c r="H3" s="10">
        <v>1.0</v>
      </c>
      <c r="I3" s="10">
        <v>0.0</v>
      </c>
      <c r="J3" s="10">
        <v>2.0</v>
      </c>
      <c r="K3" s="10">
        <v>1.0</v>
      </c>
      <c r="L3" s="10">
        <v>3.0</v>
      </c>
      <c r="M3" s="10">
        <v>1.0</v>
      </c>
      <c r="N3" s="10">
        <v>2.0</v>
      </c>
      <c r="O3" s="10">
        <v>2.0</v>
      </c>
      <c r="P3" s="10">
        <v>3.0</v>
      </c>
      <c r="Q3" s="10">
        <v>1.0</v>
      </c>
      <c r="R3" s="10">
        <v>1.0</v>
      </c>
      <c r="S3" s="10">
        <v>0.0</v>
      </c>
    </row>
    <row r="4">
      <c r="A4" s="9">
        <v>44897.76773068287</v>
      </c>
      <c r="B4" s="10" t="s">
        <v>34</v>
      </c>
      <c r="C4" s="10" t="s">
        <v>85</v>
      </c>
      <c r="D4" s="10">
        <v>2.0</v>
      </c>
      <c r="E4" s="10">
        <v>1.0</v>
      </c>
      <c r="F4" s="10">
        <v>3.0</v>
      </c>
      <c r="G4" s="10">
        <v>1.0</v>
      </c>
      <c r="H4" s="10">
        <v>3.0</v>
      </c>
      <c r="I4" s="10">
        <v>0.0</v>
      </c>
      <c r="J4" s="10">
        <v>2.0</v>
      </c>
      <c r="K4" s="10">
        <v>1.0</v>
      </c>
      <c r="L4" s="10">
        <v>2.0</v>
      </c>
      <c r="M4" s="10">
        <v>0.0</v>
      </c>
      <c r="N4" s="10">
        <v>2.0</v>
      </c>
      <c r="O4" s="10">
        <v>2.0</v>
      </c>
      <c r="P4" s="10">
        <v>2.0</v>
      </c>
      <c r="Q4" s="10">
        <v>1.0</v>
      </c>
      <c r="R4" s="10">
        <v>2.0</v>
      </c>
      <c r="S4" s="10">
        <v>2.0</v>
      </c>
    </row>
    <row r="5">
      <c r="A5" s="9">
        <v>44897.770027673614</v>
      </c>
      <c r="B5" s="10" t="s">
        <v>17</v>
      </c>
      <c r="C5" s="10" t="s">
        <v>58</v>
      </c>
      <c r="D5" s="10">
        <v>1.0</v>
      </c>
      <c r="E5" s="10">
        <v>2.0</v>
      </c>
      <c r="F5" s="10">
        <v>2.0</v>
      </c>
      <c r="G5" s="10">
        <v>0.0</v>
      </c>
      <c r="H5" s="10">
        <v>3.0</v>
      </c>
      <c r="I5" s="10">
        <v>0.0</v>
      </c>
      <c r="J5" s="10">
        <v>1.0</v>
      </c>
      <c r="K5" s="10">
        <v>2.0</v>
      </c>
      <c r="L5" s="10">
        <v>2.0</v>
      </c>
      <c r="M5" s="10">
        <v>0.0</v>
      </c>
      <c r="N5" s="10">
        <v>1.0</v>
      </c>
      <c r="O5" s="10">
        <v>0.0</v>
      </c>
      <c r="P5" s="10">
        <v>1.0</v>
      </c>
      <c r="Q5" s="10">
        <v>2.0</v>
      </c>
      <c r="R5" s="10">
        <v>1.0</v>
      </c>
      <c r="S5" s="10">
        <v>1.0</v>
      </c>
    </row>
    <row r="6">
      <c r="A6" s="9">
        <v>44897.783957210646</v>
      </c>
      <c r="B6" s="10" t="s">
        <v>76</v>
      </c>
      <c r="C6" s="10" t="s">
        <v>77</v>
      </c>
      <c r="D6" s="10">
        <v>1.0</v>
      </c>
      <c r="E6" s="10">
        <v>1.0</v>
      </c>
      <c r="F6" s="10">
        <v>2.0</v>
      </c>
      <c r="G6" s="10">
        <v>1.0</v>
      </c>
      <c r="H6" s="10">
        <v>2.0</v>
      </c>
      <c r="I6" s="10">
        <v>0.0</v>
      </c>
      <c r="J6" s="10">
        <v>3.0</v>
      </c>
      <c r="K6" s="10">
        <v>1.0</v>
      </c>
      <c r="L6" s="10">
        <v>3.0</v>
      </c>
      <c r="M6" s="10">
        <v>1.0</v>
      </c>
      <c r="N6" s="10">
        <v>3.0</v>
      </c>
      <c r="O6" s="10">
        <v>2.0</v>
      </c>
      <c r="P6" s="10">
        <v>3.0</v>
      </c>
      <c r="Q6" s="10">
        <v>0.0</v>
      </c>
      <c r="R6" s="10">
        <v>2.0</v>
      </c>
      <c r="S6" s="10">
        <v>0.0</v>
      </c>
    </row>
    <row r="7">
      <c r="A7" s="9">
        <v>44897.798366585645</v>
      </c>
      <c r="B7" s="10" t="s">
        <v>21</v>
      </c>
      <c r="C7" s="10" t="s">
        <v>29</v>
      </c>
      <c r="D7" s="10">
        <v>2.0</v>
      </c>
      <c r="E7" s="10">
        <v>1.0</v>
      </c>
      <c r="F7" s="10">
        <v>2.0</v>
      </c>
      <c r="G7" s="10">
        <v>2.0</v>
      </c>
      <c r="H7" s="10">
        <v>2.0</v>
      </c>
      <c r="I7" s="10">
        <v>0.0</v>
      </c>
      <c r="J7" s="10">
        <v>1.0</v>
      </c>
      <c r="K7" s="10">
        <v>1.0</v>
      </c>
      <c r="L7" s="10">
        <v>2.0</v>
      </c>
      <c r="M7" s="10">
        <v>1.0</v>
      </c>
      <c r="N7" s="10">
        <v>0.0</v>
      </c>
      <c r="O7" s="10">
        <v>2.0</v>
      </c>
      <c r="P7" s="10">
        <v>3.0</v>
      </c>
      <c r="Q7" s="10">
        <v>0.0</v>
      </c>
      <c r="R7" s="10">
        <v>2.0</v>
      </c>
      <c r="S7" s="10">
        <v>1.0</v>
      </c>
    </row>
    <row r="8">
      <c r="A8" s="9">
        <v>44897.80095943287</v>
      </c>
      <c r="B8" s="10" t="s">
        <v>19</v>
      </c>
      <c r="C8" s="10" t="s">
        <v>97</v>
      </c>
      <c r="D8" s="10">
        <v>1.0</v>
      </c>
      <c r="E8" s="10">
        <v>2.0</v>
      </c>
      <c r="F8" s="10">
        <v>0.0</v>
      </c>
      <c r="G8" s="10">
        <v>0.0</v>
      </c>
      <c r="H8" s="10">
        <v>2.0</v>
      </c>
      <c r="I8" s="10">
        <v>0.0</v>
      </c>
      <c r="J8" s="10">
        <v>2.0</v>
      </c>
      <c r="K8" s="10">
        <v>0.0</v>
      </c>
      <c r="L8" s="10">
        <v>1.0</v>
      </c>
      <c r="M8" s="10">
        <v>1.0</v>
      </c>
      <c r="N8" s="10">
        <v>1.0</v>
      </c>
      <c r="O8" s="10">
        <v>1.0</v>
      </c>
      <c r="P8" s="10">
        <v>2.0</v>
      </c>
      <c r="Q8" s="10">
        <v>0.0</v>
      </c>
      <c r="R8" s="10">
        <v>1.0</v>
      </c>
      <c r="S8" s="10">
        <v>2.0</v>
      </c>
    </row>
    <row r="9">
      <c r="A9" s="9">
        <v>44897.803864444446</v>
      </c>
      <c r="B9" s="10" t="s">
        <v>59</v>
      </c>
      <c r="C9" s="10" t="s">
        <v>60</v>
      </c>
      <c r="D9" s="10">
        <v>2.0</v>
      </c>
      <c r="E9" s="10">
        <v>1.0</v>
      </c>
      <c r="F9" s="10">
        <v>2.0</v>
      </c>
      <c r="G9" s="10">
        <v>1.0</v>
      </c>
      <c r="H9" s="10">
        <v>2.0</v>
      </c>
      <c r="I9" s="10">
        <v>0.0</v>
      </c>
      <c r="J9" s="10">
        <v>2.0</v>
      </c>
      <c r="K9" s="10">
        <v>1.0</v>
      </c>
      <c r="L9" s="10">
        <v>2.0</v>
      </c>
      <c r="M9" s="10">
        <v>0.0</v>
      </c>
      <c r="N9" s="10">
        <v>1.0</v>
      </c>
      <c r="O9" s="10">
        <v>0.0</v>
      </c>
      <c r="P9" s="10">
        <v>3.0</v>
      </c>
      <c r="Q9" s="10">
        <v>0.0</v>
      </c>
      <c r="R9" s="10">
        <v>2.0</v>
      </c>
      <c r="S9" s="10">
        <v>1.0</v>
      </c>
    </row>
    <row r="10">
      <c r="A10" s="9">
        <v>44897.8315618287</v>
      </c>
      <c r="B10" s="10" t="s">
        <v>40</v>
      </c>
      <c r="C10" s="10" t="s">
        <v>78</v>
      </c>
      <c r="D10" s="10">
        <v>0.0</v>
      </c>
      <c r="E10" s="10">
        <v>1.0</v>
      </c>
      <c r="F10" s="10">
        <v>1.0</v>
      </c>
      <c r="G10" s="10">
        <v>0.0</v>
      </c>
      <c r="H10" s="10">
        <v>2.0</v>
      </c>
      <c r="I10" s="10">
        <v>0.0</v>
      </c>
      <c r="J10" s="10">
        <v>2.0</v>
      </c>
      <c r="K10" s="10">
        <v>0.0</v>
      </c>
      <c r="L10" s="10">
        <v>1.0</v>
      </c>
      <c r="M10" s="10">
        <v>0.0</v>
      </c>
      <c r="N10" s="10">
        <v>1.0</v>
      </c>
      <c r="O10" s="10">
        <v>2.0</v>
      </c>
      <c r="P10" s="10">
        <v>2.0</v>
      </c>
      <c r="Q10" s="10">
        <v>0.0</v>
      </c>
      <c r="R10" s="10">
        <v>2.0</v>
      </c>
      <c r="S10" s="10">
        <v>0.0</v>
      </c>
    </row>
    <row r="11">
      <c r="A11" s="9">
        <v>44897.832925625</v>
      </c>
      <c r="B11" s="10" t="s">
        <v>79</v>
      </c>
      <c r="C11" s="10" t="s">
        <v>80</v>
      </c>
      <c r="D11" s="10">
        <v>2.0</v>
      </c>
      <c r="E11" s="10">
        <v>1.0</v>
      </c>
      <c r="F11" s="10">
        <v>2.0</v>
      </c>
      <c r="G11" s="10">
        <v>1.0</v>
      </c>
      <c r="H11" s="10">
        <v>2.0</v>
      </c>
      <c r="I11" s="10">
        <v>0.0</v>
      </c>
      <c r="J11" s="10">
        <v>2.0</v>
      </c>
      <c r="K11" s="10">
        <v>0.0</v>
      </c>
      <c r="L11" s="10">
        <v>2.0</v>
      </c>
      <c r="M11" s="10">
        <v>1.0</v>
      </c>
      <c r="N11" s="10">
        <v>1.0</v>
      </c>
      <c r="O11" s="10">
        <v>2.0</v>
      </c>
      <c r="P11" s="10">
        <v>2.0</v>
      </c>
      <c r="Q11" s="10">
        <v>0.0</v>
      </c>
      <c r="R11" s="10">
        <v>1.0</v>
      </c>
      <c r="S11" s="10">
        <v>2.0</v>
      </c>
    </row>
    <row r="12">
      <c r="A12" s="9">
        <v>44897.834191331014</v>
      </c>
      <c r="B12" s="10" t="s">
        <v>42</v>
      </c>
      <c r="C12" s="10" t="s">
        <v>43</v>
      </c>
      <c r="D12" s="10">
        <v>2.0</v>
      </c>
      <c r="E12" s="10">
        <v>1.0</v>
      </c>
      <c r="F12" s="10">
        <v>1.0</v>
      </c>
      <c r="G12" s="10">
        <v>0.0</v>
      </c>
      <c r="H12" s="10">
        <v>2.0</v>
      </c>
      <c r="I12" s="10">
        <v>0.0</v>
      </c>
      <c r="J12" s="10">
        <v>2.0</v>
      </c>
      <c r="K12" s="10">
        <v>0.0</v>
      </c>
      <c r="L12" s="10">
        <v>1.0</v>
      </c>
      <c r="M12" s="10">
        <v>1.0</v>
      </c>
      <c r="N12" s="10">
        <v>1.0</v>
      </c>
      <c r="O12" s="10">
        <v>3.0</v>
      </c>
      <c r="P12" s="10">
        <v>2.0</v>
      </c>
      <c r="Q12" s="10">
        <v>0.0</v>
      </c>
      <c r="R12" s="10">
        <v>2.0</v>
      </c>
      <c r="S12" s="10">
        <v>0.0</v>
      </c>
    </row>
    <row r="13">
      <c r="A13" s="9">
        <v>44897.85236655093</v>
      </c>
      <c r="B13" s="10" t="s">
        <v>25</v>
      </c>
      <c r="C13" s="10" t="s">
        <v>26</v>
      </c>
      <c r="D13" s="10">
        <v>2.0</v>
      </c>
      <c r="E13" s="10">
        <v>0.0</v>
      </c>
      <c r="F13" s="10">
        <v>1.0</v>
      </c>
      <c r="G13" s="10">
        <v>0.0</v>
      </c>
      <c r="H13" s="10">
        <v>2.0</v>
      </c>
      <c r="I13" s="10">
        <v>1.0</v>
      </c>
      <c r="J13" s="10">
        <v>3.0</v>
      </c>
      <c r="K13" s="10">
        <v>0.0</v>
      </c>
      <c r="L13" s="10">
        <v>2.0</v>
      </c>
      <c r="M13" s="10">
        <v>1.0</v>
      </c>
      <c r="N13" s="10">
        <v>0.0</v>
      </c>
      <c r="O13" s="10">
        <v>2.0</v>
      </c>
      <c r="P13" s="10">
        <v>2.0</v>
      </c>
      <c r="Q13" s="10">
        <v>0.0</v>
      </c>
      <c r="R13" s="10">
        <v>2.0</v>
      </c>
      <c r="S13" s="10">
        <v>0.0</v>
      </c>
    </row>
    <row r="14">
      <c r="A14" s="9">
        <v>44897.87912450232</v>
      </c>
      <c r="B14" s="10" t="s">
        <v>23</v>
      </c>
      <c r="C14" s="10" t="s">
        <v>56</v>
      </c>
      <c r="D14" s="10">
        <v>2.0</v>
      </c>
      <c r="E14" s="10">
        <v>0.0</v>
      </c>
      <c r="F14" s="10">
        <v>3.0</v>
      </c>
      <c r="G14" s="10">
        <v>1.0</v>
      </c>
      <c r="H14" s="10">
        <v>2.0</v>
      </c>
      <c r="I14" s="10">
        <v>0.0</v>
      </c>
      <c r="J14" s="10">
        <v>2.0</v>
      </c>
      <c r="K14" s="10">
        <v>1.0</v>
      </c>
      <c r="L14" s="10">
        <v>1.0</v>
      </c>
      <c r="M14" s="10">
        <v>0.0</v>
      </c>
      <c r="N14" s="10">
        <v>1.0</v>
      </c>
      <c r="O14" s="10">
        <v>1.0</v>
      </c>
      <c r="P14" s="10">
        <v>3.0</v>
      </c>
      <c r="Q14" s="10">
        <v>1.0</v>
      </c>
      <c r="R14" s="10">
        <v>2.0</v>
      </c>
      <c r="S14" s="10">
        <v>0.0</v>
      </c>
    </row>
    <row r="15">
      <c r="A15" s="9">
        <v>44897.880808738424</v>
      </c>
      <c r="B15" s="10" t="s">
        <v>21</v>
      </c>
      <c r="C15" s="10" t="s">
        <v>62</v>
      </c>
      <c r="D15" s="10">
        <v>2.0</v>
      </c>
      <c r="E15" s="10">
        <v>1.0</v>
      </c>
      <c r="F15" s="10">
        <v>2.0</v>
      </c>
      <c r="G15" s="10">
        <v>0.0</v>
      </c>
      <c r="H15" s="10">
        <v>3.0</v>
      </c>
      <c r="I15" s="10">
        <v>1.0</v>
      </c>
      <c r="J15" s="10">
        <v>3.0</v>
      </c>
      <c r="K15" s="10">
        <v>0.0</v>
      </c>
      <c r="L15" s="10">
        <v>1.0</v>
      </c>
      <c r="M15" s="10">
        <v>1.0</v>
      </c>
      <c r="N15" s="10">
        <v>0.0</v>
      </c>
      <c r="O15" s="10">
        <v>2.0</v>
      </c>
      <c r="P15" s="10">
        <v>3.0</v>
      </c>
      <c r="Q15" s="10">
        <v>1.0</v>
      </c>
      <c r="R15" s="10">
        <v>2.0</v>
      </c>
      <c r="S15" s="10">
        <v>1.0</v>
      </c>
    </row>
    <row r="16">
      <c r="A16" s="9">
        <v>44897.91181447917</v>
      </c>
      <c r="B16" s="10" t="s">
        <v>115</v>
      </c>
      <c r="C16" s="10" t="s">
        <v>68</v>
      </c>
      <c r="D16" s="10">
        <v>1.0</v>
      </c>
      <c r="E16" s="10">
        <v>2.0</v>
      </c>
      <c r="F16" s="10">
        <v>2.0</v>
      </c>
      <c r="G16" s="10">
        <v>1.0</v>
      </c>
      <c r="H16" s="10">
        <v>2.0</v>
      </c>
      <c r="I16" s="10">
        <v>0.0</v>
      </c>
      <c r="J16" s="10">
        <v>3.0</v>
      </c>
      <c r="K16" s="10">
        <v>1.0</v>
      </c>
      <c r="L16" s="10">
        <v>1.0</v>
      </c>
      <c r="M16" s="10">
        <v>2.0</v>
      </c>
      <c r="N16" s="10">
        <v>0.0</v>
      </c>
      <c r="O16" s="10">
        <v>2.0</v>
      </c>
      <c r="P16" s="10">
        <v>2.0</v>
      </c>
      <c r="Q16" s="10">
        <v>1.0</v>
      </c>
      <c r="R16" s="10">
        <v>1.0</v>
      </c>
      <c r="S16" s="10">
        <v>1.0</v>
      </c>
    </row>
    <row r="17">
      <c r="A17" s="9">
        <v>44897.942567743055</v>
      </c>
      <c r="B17" s="10" t="s">
        <v>38</v>
      </c>
      <c r="C17" s="10" t="s">
        <v>63</v>
      </c>
      <c r="D17" s="10">
        <v>2.0</v>
      </c>
      <c r="E17" s="10">
        <v>1.0</v>
      </c>
      <c r="F17" s="10">
        <v>2.0</v>
      </c>
      <c r="G17" s="10">
        <v>0.0</v>
      </c>
      <c r="H17" s="10">
        <v>2.0</v>
      </c>
      <c r="I17" s="10">
        <v>0.0</v>
      </c>
      <c r="J17" s="10">
        <v>1.0</v>
      </c>
      <c r="K17" s="10">
        <v>0.0</v>
      </c>
      <c r="L17" s="10">
        <v>1.0</v>
      </c>
      <c r="M17" s="10">
        <v>2.0</v>
      </c>
      <c r="N17" s="10">
        <v>1.0</v>
      </c>
      <c r="O17" s="10">
        <v>2.0</v>
      </c>
      <c r="P17" s="10">
        <v>3.0</v>
      </c>
      <c r="Q17" s="10">
        <v>0.0</v>
      </c>
      <c r="R17" s="10">
        <v>1.0</v>
      </c>
      <c r="S17" s="10">
        <v>0.0</v>
      </c>
    </row>
    <row r="18">
      <c r="A18" s="9">
        <v>44897.962280300926</v>
      </c>
      <c r="B18" s="10" t="s">
        <v>30</v>
      </c>
      <c r="C18" s="10" t="s">
        <v>61</v>
      </c>
      <c r="D18" s="10">
        <v>2.0</v>
      </c>
      <c r="E18" s="10">
        <v>1.0</v>
      </c>
      <c r="F18" s="10">
        <v>3.0</v>
      </c>
      <c r="G18" s="10">
        <v>1.0</v>
      </c>
      <c r="H18" s="10">
        <v>4.0</v>
      </c>
      <c r="I18" s="10">
        <v>0.0</v>
      </c>
      <c r="J18" s="10">
        <v>2.0</v>
      </c>
      <c r="K18" s="10">
        <v>1.0</v>
      </c>
      <c r="L18" s="10">
        <v>1.0</v>
      </c>
      <c r="M18" s="10">
        <v>2.0</v>
      </c>
      <c r="N18" s="10">
        <v>1.0</v>
      </c>
      <c r="O18" s="10">
        <v>3.0</v>
      </c>
      <c r="P18" s="10">
        <v>2.0</v>
      </c>
      <c r="Q18" s="10">
        <v>0.0</v>
      </c>
      <c r="R18" s="10">
        <v>2.0</v>
      </c>
      <c r="S18" s="10">
        <v>2.0</v>
      </c>
    </row>
    <row r="19">
      <c r="A19" s="9">
        <v>44898.402108483795</v>
      </c>
      <c r="B19" s="10" t="s">
        <v>74</v>
      </c>
      <c r="C19" s="10" t="s">
        <v>45</v>
      </c>
      <c r="D19" s="10">
        <v>2.0</v>
      </c>
      <c r="E19" s="10">
        <v>1.0</v>
      </c>
      <c r="F19" s="10">
        <v>1.0</v>
      </c>
      <c r="G19" s="10">
        <v>1.0</v>
      </c>
      <c r="H19" s="10">
        <v>2.0</v>
      </c>
      <c r="I19" s="10">
        <v>0.0</v>
      </c>
      <c r="J19" s="10">
        <v>1.0</v>
      </c>
      <c r="K19" s="10">
        <v>0.0</v>
      </c>
      <c r="L19" s="10">
        <v>1.0</v>
      </c>
      <c r="M19" s="10">
        <v>2.0</v>
      </c>
      <c r="N19" s="10">
        <v>2.0</v>
      </c>
      <c r="O19" s="10">
        <v>3.0</v>
      </c>
      <c r="P19" s="10">
        <v>2.0</v>
      </c>
      <c r="Q19" s="10">
        <v>0.0</v>
      </c>
      <c r="R19" s="10">
        <v>2.0</v>
      </c>
      <c r="S19" s="10">
        <v>2.0</v>
      </c>
    </row>
    <row r="20">
      <c r="B20" s="10" t="s">
        <v>116</v>
      </c>
      <c r="C20" s="25" t="s">
        <v>53</v>
      </c>
      <c r="D20" s="10">
        <v>1.0</v>
      </c>
      <c r="E20" s="10">
        <v>0.0</v>
      </c>
      <c r="F20" s="10">
        <v>3.0</v>
      </c>
      <c r="G20" s="10">
        <v>1.0</v>
      </c>
      <c r="H20" s="10">
        <v>2.0</v>
      </c>
      <c r="I20" s="10">
        <v>1.0</v>
      </c>
      <c r="J20" s="10">
        <v>2.0</v>
      </c>
      <c r="K20" s="10">
        <v>0.0</v>
      </c>
      <c r="L20" s="10">
        <v>2.0</v>
      </c>
      <c r="M20" s="10">
        <v>1.0</v>
      </c>
      <c r="N20" s="10">
        <v>1.0</v>
      </c>
      <c r="O20" s="10">
        <v>1.0</v>
      </c>
      <c r="P20" s="10">
        <v>3.0</v>
      </c>
      <c r="Q20" s="10">
        <v>0.0</v>
      </c>
      <c r="R20" s="10">
        <v>2.0</v>
      </c>
      <c r="S20" s="10">
        <v>1.0</v>
      </c>
    </row>
    <row r="21">
      <c r="C21" s="25" t="s">
        <v>50</v>
      </c>
      <c r="D21" s="10">
        <v>1.0</v>
      </c>
      <c r="E21" s="10">
        <v>2.0</v>
      </c>
      <c r="F21" s="10">
        <v>1.0</v>
      </c>
      <c r="G21" s="10">
        <v>2.0</v>
      </c>
      <c r="H21" s="10">
        <v>2.0</v>
      </c>
      <c r="I21" s="10">
        <v>0.0</v>
      </c>
      <c r="J21" s="10">
        <v>2.0</v>
      </c>
      <c r="K21" s="10">
        <v>1.0</v>
      </c>
      <c r="L21" s="10">
        <v>1.0</v>
      </c>
      <c r="M21" s="10">
        <v>0.0</v>
      </c>
      <c r="N21" s="10">
        <v>2.0</v>
      </c>
      <c r="O21" s="10">
        <v>1.0</v>
      </c>
      <c r="P21" s="10">
        <v>1.0</v>
      </c>
      <c r="Q21" s="10">
        <v>0.0</v>
      </c>
      <c r="R21" s="10">
        <v>1.0</v>
      </c>
      <c r="S21" s="10">
        <v>1.0</v>
      </c>
    </row>
    <row r="22">
      <c r="B22" s="10" t="s">
        <v>71</v>
      </c>
      <c r="C22" s="25" t="s">
        <v>72</v>
      </c>
      <c r="D22" s="10">
        <v>1.0</v>
      </c>
      <c r="E22" s="10">
        <v>1.0</v>
      </c>
      <c r="F22" s="10">
        <v>2.0</v>
      </c>
      <c r="G22" s="10">
        <v>1.0</v>
      </c>
      <c r="H22" s="10">
        <v>3.0</v>
      </c>
      <c r="I22" s="10">
        <v>0.0</v>
      </c>
      <c r="J22" s="10">
        <v>3.0</v>
      </c>
      <c r="K22" s="10">
        <v>1.0</v>
      </c>
      <c r="L22" s="10">
        <v>2.0</v>
      </c>
      <c r="M22" s="10">
        <v>3.0</v>
      </c>
      <c r="N22" s="10">
        <v>2.0</v>
      </c>
      <c r="O22" s="10">
        <v>2.0</v>
      </c>
      <c r="P22" s="10">
        <v>3.0</v>
      </c>
      <c r="Q22" s="10">
        <v>1.0</v>
      </c>
      <c r="R22" s="10">
        <v>1.0</v>
      </c>
      <c r="S22" s="10">
        <v>1.0</v>
      </c>
    </row>
    <row r="23">
      <c r="B23" s="26" t="s">
        <v>117</v>
      </c>
      <c r="C23" s="25" t="s">
        <v>84</v>
      </c>
      <c r="D23" s="10">
        <v>2.0</v>
      </c>
      <c r="E23" s="10">
        <v>1.0</v>
      </c>
      <c r="F23" s="10">
        <v>3.0</v>
      </c>
      <c r="G23" s="10">
        <v>1.0</v>
      </c>
      <c r="H23" s="10">
        <v>4.0</v>
      </c>
      <c r="I23" s="10">
        <v>0.0</v>
      </c>
      <c r="J23" s="10">
        <v>3.0</v>
      </c>
      <c r="K23" s="10">
        <v>0.0</v>
      </c>
      <c r="L23" s="10">
        <v>0.0</v>
      </c>
      <c r="M23" s="10">
        <v>1.0</v>
      </c>
      <c r="N23" s="10">
        <v>1.0</v>
      </c>
      <c r="O23" s="10">
        <v>2.0</v>
      </c>
      <c r="P23" s="10">
        <v>2.0</v>
      </c>
      <c r="Q23" s="10">
        <v>1.0</v>
      </c>
      <c r="R23" s="10">
        <v>1.0</v>
      </c>
      <c r="S23" s="10">
        <v>1.0</v>
      </c>
    </row>
    <row r="24">
      <c r="B24" s="26" t="s">
        <v>118</v>
      </c>
      <c r="C24" s="25" t="s">
        <v>82</v>
      </c>
      <c r="D24" s="10">
        <v>2.0</v>
      </c>
      <c r="E24" s="10">
        <v>1.0</v>
      </c>
      <c r="F24" s="10">
        <v>3.0</v>
      </c>
      <c r="G24" s="10">
        <v>0.0</v>
      </c>
      <c r="H24" s="10">
        <v>3.0</v>
      </c>
      <c r="I24" s="10">
        <v>1.0</v>
      </c>
      <c r="J24" s="10">
        <v>2.0</v>
      </c>
      <c r="K24" s="10">
        <v>2.0</v>
      </c>
      <c r="L24" s="10">
        <v>2.0</v>
      </c>
      <c r="M24" s="10">
        <v>1.0</v>
      </c>
      <c r="N24" s="10">
        <v>2.0</v>
      </c>
      <c r="O24" s="10">
        <v>1.0</v>
      </c>
      <c r="P24" s="10">
        <v>2.0</v>
      </c>
      <c r="Q24" s="10">
        <v>1.0</v>
      </c>
      <c r="R24" s="10">
        <v>1.0</v>
      </c>
      <c r="S24" s="10">
        <v>3.0</v>
      </c>
    </row>
    <row r="25">
      <c r="B25" s="26" t="s">
        <v>48</v>
      </c>
      <c r="C25" s="25" t="s">
        <v>48</v>
      </c>
      <c r="D25" s="10">
        <v>2.0</v>
      </c>
      <c r="E25" s="10">
        <v>1.0</v>
      </c>
      <c r="F25" s="10">
        <v>3.0</v>
      </c>
      <c r="G25" s="10">
        <v>0.0</v>
      </c>
      <c r="H25" s="10">
        <v>2.0</v>
      </c>
      <c r="I25" s="10">
        <v>0.0</v>
      </c>
      <c r="J25" s="10">
        <v>3.0</v>
      </c>
      <c r="K25" s="10">
        <v>0.0</v>
      </c>
      <c r="L25" s="10">
        <v>1.0</v>
      </c>
      <c r="M25" s="10">
        <v>2.0</v>
      </c>
      <c r="N25" s="10">
        <v>2.0</v>
      </c>
      <c r="O25" s="10">
        <v>2.0</v>
      </c>
      <c r="P25" s="10">
        <v>2.0</v>
      </c>
      <c r="Q25" s="10">
        <v>0.0</v>
      </c>
      <c r="R25" s="10">
        <v>1.0</v>
      </c>
      <c r="S25" s="10">
        <v>2.0</v>
      </c>
    </row>
    <row r="26">
      <c r="B26" s="26" t="s">
        <v>49</v>
      </c>
      <c r="C26" s="25" t="s">
        <v>49</v>
      </c>
      <c r="D26" s="10">
        <v>2.0</v>
      </c>
      <c r="E26" s="10">
        <v>0.0</v>
      </c>
      <c r="F26" s="10">
        <v>1.0</v>
      </c>
      <c r="G26" s="10">
        <v>0.0</v>
      </c>
      <c r="H26" s="10">
        <v>2.0</v>
      </c>
      <c r="I26" s="10">
        <v>1.0</v>
      </c>
      <c r="J26" s="10">
        <v>3.0</v>
      </c>
      <c r="K26" s="10">
        <v>1.0</v>
      </c>
      <c r="L26" s="10">
        <v>1.0</v>
      </c>
      <c r="M26" s="10">
        <v>1.0</v>
      </c>
      <c r="N26" s="10">
        <v>2.0</v>
      </c>
      <c r="O26" s="10">
        <v>1.0</v>
      </c>
      <c r="P26" s="10">
        <v>3.0</v>
      </c>
      <c r="Q26" s="10">
        <v>0.0</v>
      </c>
      <c r="R26" s="10">
        <v>1.0</v>
      </c>
      <c r="S26" s="10">
        <v>1.0</v>
      </c>
    </row>
    <row r="27">
      <c r="B27" s="26" t="s">
        <v>119</v>
      </c>
      <c r="C27" s="27" t="s">
        <v>52</v>
      </c>
      <c r="D27" s="10">
        <v>1.0</v>
      </c>
      <c r="E27" s="10">
        <v>1.0</v>
      </c>
      <c r="F27" s="10">
        <v>2.0</v>
      </c>
      <c r="G27" s="10">
        <v>1.0</v>
      </c>
      <c r="H27" s="10">
        <v>2.0</v>
      </c>
      <c r="I27" s="10">
        <v>1.0</v>
      </c>
      <c r="J27" s="10">
        <v>3.0</v>
      </c>
      <c r="K27" s="10">
        <v>0.0</v>
      </c>
      <c r="L27" s="10">
        <v>2.0</v>
      </c>
      <c r="M27" s="10">
        <v>1.0</v>
      </c>
      <c r="N27" s="10">
        <v>1.0</v>
      </c>
      <c r="O27" s="10">
        <v>1.0</v>
      </c>
      <c r="P27" s="10">
        <v>3.0</v>
      </c>
      <c r="Q27" s="10">
        <v>0.0</v>
      </c>
      <c r="R27" s="10">
        <v>1.0</v>
      </c>
      <c r="S27" s="10">
        <v>1.0</v>
      </c>
    </row>
    <row r="28">
      <c r="B28" s="26" t="s">
        <v>64</v>
      </c>
      <c r="C28" s="25" t="s">
        <v>65</v>
      </c>
      <c r="D28" s="10">
        <v>1.0</v>
      </c>
      <c r="E28" s="10">
        <v>3.0</v>
      </c>
      <c r="F28" s="10">
        <v>1.0</v>
      </c>
      <c r="G28" s="10">
        <v>0.0</v>
      </c>
      <c r="H28" s="10">
        <v>2.0</v>
      </c>
      <c r="I28" s="10">
        <v>0.0</v>
      </c>
      <c r="J28" s="10">
        <v>3.0</v>
      </c>
      <c r="K28" s="10">
        <v>0.0</v>
      </c>
      <c r="L28" s="10">
        <v>2.0</v>
      </c>
      <c r="M28" s="10">
        <v>0.0</v>
      </c>
      <c r="N28" s="10">
        <v>1.0</v>
      </c>
      <c r="O28" s="10">
        <v>1.0</v>
      </c>
      <c r="P28" s="10">
        <v>2.0</v>
      </c>
      <c r="Q28" s="10">
        <v>0.0</v>
      </c>
      <c r="R28" s="10">
        <v>0.0</v>
      </c>
      <c r="S28" s="10">
        <v>0.0</v>
      </c>
    </row>
    <row r="29">
      <c r="C29" s="10" t="s">
        <v>51</v>
      </c>
      <c r="D29" s="10">
        <v>2.0</v>
      </c>
      <c r="E29" s="10">
        <v>1.0</v>
      </c>
      <c r="F29" s="10">
        <v>2.0</v>
      </c>
      <c r="G29" s="10">
        <v>2.0</v>
      </c>
      <c r="H29" s="10">
        <v>3.0</v>
      </c>
      <c r="I29" s="10">
        <v>1.0</v>
      </c>
      <c r="J29" s="10">
        <v>3.0</v>
      </c>
      <c r="K29" s="10">
        <v>0.0</v>
      </c>
      <c r="L29" s="10">
        <v>2.0</v>
      </c>
      <c r="M29" s="10">
        <v>0.0</v>
      </c>
      <c r="N29" s="10">
        <v>0.0</v>
      </c>
      <c r="O29" s="10">
        <v>1.0</v>
      </c>
      <c r="P29" s="10">
        <v>4.0</v>
      </c>
      <c r="Q29" s="10">
        <v>0.0</v>
      </c>
      <c r="R29" s="10">
        <v>3.0</v>
      </c>
      <c r="S29" s="10">
        <v>2.0</v>
      </c>
    </row>
    <row r="30">
      <c r="C30" s="10" t="s">
        <v>46</v>
      </c>
      <c r="D30" s="10">
        <v>1.0</v>
      </c>
      <c r="E30" s="10">
        <v>2.0</v>
      </c>
      <c r="F30" s="10">
        <v>3.0</v>
      </c>
      <c r="G30" s="10">
        <v>0.0</v>
      </c>
      <c r="H30" s="10">
        <v>3.0</v>
      </c>
      <c r="I30" s="10">
        <v>0.0</v>
      </c>
      <c r="J30" s="10">
        <v>3.0</v>
      </c>
      <c r="K30" s="10">
        <v>0.0</v>
      </c>
      <c r="L30" s="10">
        <v>1.0</v>
      </c>
      <c r="M30" s="10">
        <v>2.0</v>
      </c>
      <c r="N30" s="10">
        <v>0.0</v>
      </c>
      <c r="O30" s="10">
        <v>2.0</v>
      </c>
      <c r="P30" s="10">
        <v>3.0</v>
      </c>
      <c r="Q30" s="10">
        <v>0.0</v>
      </c>
      <c r="R30" s="10">
        <v>2.0</v>
      </c>
      <c r="S30" s="10">
        <v>1.0</v>
      </c>
    </row>
    <row r="31">
      <c r="C31" s="10" t="s">
        <v>47</v>
      </c>
      <c r="D31" s="10">
        <v>2.0</v>
      </c>
      <c r="E31" s="10">
        <v>0.0</v>
      </c>
      <c r="F31" s="10">
        <v>2.0</v>
      </c>
      <c r="G31" s="10">
        <v>1.0</v>
      </c>
      <c r="H31" s="10">
        <v>2.0</v>
      </c>
      <c r="I31" s="10">
        <v>0.0</v>
      </c>
      <c r="J31" s="10">
        <v>2.0</v>
      </c>
      <c r="K31" s="10">
        <v>0.0</v>
      </c>
      <c r="L31" s="10">
        <v>0.0</v>
      </c>
      <c r="M31" s="10">
        <v>1.0</v>
      </c>
      <c r="N31" s="10">
        <v>0.0</v>
      </c>
      <c r="O31" s="10">
        <v>2.0</v>
      </c>
      <c r="P31" s="10">
        <v>2.0</v>
      </c>
      <c r="Q31" s="10">
        <v>0.0</v>
      </c>
      <c r="R31" s="10">
        <v>1.0</v>
      </c>
      <c r="S31" s="10">
        <v>0.0</v>
      </c>
    </row>
  </sheetData>
  <mergeCells count="8">
    <mergeCell ref="D1:E1"/>
    <mergeCell ref="F1:G1"/>
    <mergeCell ref="H1:I1"/>
    <mergeCell ref="J1:K1"/>
    <mergeCell ref="L1:M1"/>
    <mergeCell ref="N1:O1"/>
    <mergeCell ref="P1:Q1"/>
    <mergeCell ref="R1:S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3.5"/>
    <col customWidth="1" min="2" max="2" width="27.75"/>
    <col customWidth="1" min="3" max="99" width="18.88"/>
    <col customWidth="1" min="100" max="100" width="27.75"/>
    <col customWidth="1" min="101" max="110" width="18.88"/>
  </cols>
  <sheetData>
    <row r="1">
      <c r="A1" s="6"/>
      <c r="B1" s="6"/>
      <c r="C1" s="6"/>
      <c r="D1" s="28" t="s">
        <v>120</v>
      </c>
      <c r="E1" s="29"/>
      <c r="F1" s="30" t="s">
        <v>121</v>
      </c>
      <c r="G1" s="29"/>
      <c r="H1" s="28" t="s">
        <v>122</v>
      </c>
      <c r="I1" s="29"/>
      <c r="J1" s="30" t="s">
        <v>123</v>
      </c>
      <c r="K1" s="29"/>
      <c r="L1" s="28" t="s">
        <v>124</v>
      </c>
      <c r="M1" s="29"/>
      <c r="N1" s="30" t="s">
        <v>125</v>
      </c>
      <c r="O1" s="29"/>
      <c r="P1" s="28" t="s">
        <v>126</v>
      </c>
      <c r="Q1" s="29"/>
      <c r="R1" s="30" t="s">
        <v>127</v>
      </c>
      <c r="S1" s="29"/>
      <c r="T1" s="28" t="s">
        <v>128</v>
      </c>
      <c r="U1" s="29"/>
      <c r="V1" s="30" t="s">
        <v>129</v>
      </c>
      <c r="W1" s="29"/>
      <c r="X1" s="28" t="s">
        <v>130</v>
      </c>
      <c r="Y1" s="29"/>
      <c r="Z1" s="30" t="s">
        <v>131</v>
      </c>
      <c r="AA1" s="29"/>
      <c r="AB1" s="28" t="s">
        <v>132</v>
      </c>
      <c r="AC1" s="29"/>
      <c r="AD1" s="30" t="s">
        <v>133</v>
      </c>
      <c r="AE1" s="29"/>
      <c r="AF1" s="28" t="s">
        <v>134</v>
      </c>
      <c r="AG1" s="29"/>
      <c r="AH1" s="30" t="s">
        <v>135</v>
      </c>
      <c r="AI1" s="29"/>
      <c r="AJ1" s="28" t="s">
        <v>136</v>
      </c>
      <c r="AK1" s="29"/>
      <c r="AL1" s="30" t="s">
        <v>137</v>
      </c>
      <c r="AM1" s="29"/>
      <c r="AN1" s="28" t="s">
        <v>138</v>
      </c>
      <c r="AO1" s="29"/>
      <c r="AP1" s="30" t="s">
        <v>139</v>
      </c>
      <c r="AQ1" s="29"/>
      <c r="AR1" s="28" t="s">
        <v>140</v>
      </c>
      <c r="AS1" s="29"/>
      <c r="AT1" s="30" t="s">
        <v>141</v>
      </c>
      <c r="AU1" s="29"/>
      <c r="AV1" s="28" t="s">
        <v>142</v>
      </c>
      <c r="AW1" s="29"/>
      <c r="AX1" s="30" t="s">
        <v>143</v>
      </c>
      <c r="AY1" s="29"/>
      <c r="AZ1" s="28" t="s">
        <v>144</v>
      </c>
      <c r="BA1" s="29"/>
      <c r="BB1" s="30" t="s">
        <v>145</v>
      </c>
      <c r="BC1" s="29"/>
      <c r="BD1" s="28" t="s">
        <v>146</v>
      </c>
      <c r="BE1" s="29"/>
      <c r="BF1" s="30" t="s">
        <v>147</v>
      </c>
      <c r="BG1" s="29"/>
      <c r="BH1" s="28" t="s">
        <v>148</v>
      </c>
      <c r="BI1" s="29"/>
      <c r="BJ1" s="30" t="s">
        <v>149</v>
      </c>
      <c r="BK1" s="29"/>
      <c r="BL1" s="28" t="s">
        <v>150</v>
      </c>
      <c r="BM1" s="29"/>
      <c r="BN1" s="30" t="s">
        <v>151</v>
      </c>
      <c r="BO1" s="29"/>
      <c r="BP1" s="28" t="s">
        <v>152</v>
      </c>
      <c r="BQ1" s="29"/>
      <c r="BR1" s="30" t="s">
        <v>153</v>
      </c>
      <c r="BS1" s="29"/>
      <c r="BT1" s="28" t="s">
        <v>154</v>
      </c>
      <c r="BU1" s="29"/>
      <c r="BV1" s="30" t="s">
        <v>155</v>
      </c>
      <c r="BW1" s="29"/>
      <c r="BX1" s="28" t="s">
        <v>156</v>
      </c>
      <c r="BY1" s="29"/>
      <c r="BZ1" s="30" t="s">
        <v>157</v>
      </c>
      <c r="CA1" s="29"/>
      <c r="CB1" s="28" t="s">
        <v>158</v>
      </c>
      <c r="CC1" s="29"/>
      <c r="CD1" s="30" t="s">
        <v>159</v>
      </c>
      <c r="CE1" s="29"/>
      <c r="CF1" s="28" t="s">
        <v>160</v>
      </c>
      <c r="CG1" s="29"/>
      <c r="CH1" s="30" t="s">
        <v>161</v>
      </c>
      <c r="CI1" s="29"/>
      <c r="CJ1" s="28" t="s">
        <v>162</v>
      </c>
      <c r="CK1" s="29"/>
      <c r="CL1" s="30" t="s">
        <v>163</v>
      </c>
      <c r="CM1" s="29"/>
      <c r="CN1" s="28" t="s">
        <v>164</v>
      </c>
      <c r="CO1" s="29"/>
      <c r="CP1" s="30" t="s">
        <v>165</v>
      </c>
      <c r="CQ1" s="29"/>
      <c r="CR1" s="28" t="s">
        <v>166</v>
      </c>
      <c r="CS1" s="29"/>
      <c r="CT1" s="30" t="s">
        <v>167</v>
      </c>
      <c r="CU1" s="29"/>
      <c r="CV1" s="31"/>
      <c r="CW1" s="31"/>
      <c r="CX1" s="31"/>
      <c r="CY1" s="31"/>
      <c r="CZ1" s="31"/>
    </row>
    <row r="2">
      <c r="A2" s="8" t="s">
        <v>9</v>
      </c>
      <c r="B2" s="8" t="s">
        <v>10</v>
      </c>
      <c r="C2" s="8" t="s">
        <v>168</v>
      </c>
      <c r="D2" s="32" t="s">
        <v>169</v>
      </c>
      <c r="E2" s="33" t="s">
        <v>170</v>
      </c>
      <c r="F2" s="34" t="s">
        <v>108</v>
      </c>
      <c r="G2" s="34" t="s">
        <v>94</v>
      </c>
      <c r="H2" s="33" t="s">
        <v>169</v>
      </c>
      <c r="I2" s="33" t="s">
        <v>108</v>
      </c>
      <c r="J2" s="34" t="s">
        <v>94</v>
      </c>
      <c r="K2" s="34" t="s">
        <v>170</v>
      </c>
      <c r="L2" s="33" t="s">
        <v>94</v>
      </c>
      <c r="M2" s="33" t="s">
        <v>169</v>
      </c>
      <c r="N2" s="34" t="s">
        <v>170</v>
      </c>
      <c r="O2" s="34" t="s">
        <v>108</v>
      </c>
      <c r="P2" s="33" t="s">
        <v>96</v>
      </c>
      <c r="Q2" s="33" t="s">
        <v>171</v>
      </c>
      <c r="R2" s="34" t="s">
        <v>107</v>
      </c>
      <c r="S2" s="34" t="s">
        <v>172</v>
      </c>
      <c r="T2" s="33" t="s">
        <v>96</v>
      </c>
      <c r="U2" s="33" t="s">
        <v>107</v>
      </c>
      <c r="V2" s="34" t="s">
        <v>172</v>
      </c>
      <c r="W2" s="34" t="s">
        <v>171</v>
      </c>
      <c r="X2" s="33" t="s">
        <v>172</v>
      </c>
      <c r="Y2" s="33" t="s">
        <v>96</v>
      </c>
      <c r="Z2" s="35" t="s">
        <v>171</v>
      </c>
      <c r="AA2" s="34" t="s">
        <v>107</v>
      </c>
      <c r="AB2" s="33" t="s">
        <v>11</v>
      </c>
      <c r="AC2" s="33" t="s">
        <v>173</v>
      </c>
      <c r="AD2" s="34" t="s">
        <v>174</v>
      </c>
      <c r="AE2" s="34" t="s">
        <v>110</v>
      </c>
      <c r="AF2" s="33" t="s">
        <v>11</v>
      </c>
      <c r="AG2" s="33" t="s">
        <v>174</v>
      </c>
      <c r="AH2" s="34" t="s">
        <v>110</v>
      </c>
      <c r="AI2" s="34" t="s">
        <v>173</v>
      </c>
      <c r="AJ2" s="33" t="s">
        <v>110</v>
      </c>
      <c r="AK2" s="33" t="s">
        <v>11</v>
      </c>
      <c r="AL2" s="36" t="s">
        <v>173</v>
      </c>
      <c r="AM2" s="34" t="s">
        <v>174</v>
      </c>
      <c r="AN2" s="33" t="s">
        <v>12</v>
      </c>
      <c r="AO2" s="33" t="s">
        <v>109</v>
      </c>
      <c r="AP2" s="34" t="s">
        <v>175</v>
      </c>
      <c r="AQ2" s="34" t="s">
        <v>176</v>
      </c>
      <c r="AR2" s="33" t="s">
        <v>12</v>
      </c>
      <c r="AS2" s="33" t="s">
        <v>175</v>
      </c>
      <c r="AT2" s="34" t="s">
        <v>176</v>
      </c>
      <c r="AU2" s="34" t="s">
        <v>109</v>
      </c>
      <c r="AV2" s="33" t="s">
        <v>176</v>
      </c>
      <c r="AW2" s="33" t="s">
        <v>12</v>
      </c>
      <c r="AX2" s="14" t="s">
        <v>109</v>
      </c>
      <c r="AY2" s="34" t="s">
        <v>175</v>
      </c>
      <c r="AZ2" s="37" t="s">
        <v>112</v>
      </c>
      <c r="BA2" s="33" t="s">
        <v>177</v>
      </c>
      <c r="BB2" s="34" t="s">
        <v>178</v>
      </c>
      <c r="BC2" s="36" t="s">
        <v>179</v>
      </c>
      <c r="BD2" s="37" t="s">
        <v>112</v>
      </c>
      <c r="BE2" s="33" t="s">
        <v>178</v>
      </c>
      <c r="BF2" s="36" t="s">
        <v>179</v>
      </c>
      <c r="BG2" s="34" t="s">
        <v>177</v>
      </c>
      <c r="BH2" s="32" t="s">
        <v>179</v>
      </c>
      <c r="BI2" s="33" t="s">
        <v>112</v>
      </c>
      <c r="BJ2" s="34" t="s">
        <v>177</v>
      </c>
      <c r="BK2" s="34" t="s">
        <v>178</v>
      </c>
      <c r="BL2" s="33" t="s">
        <v>180</v>
      </c>
      <c r="BM2" s="33" t="s">
        <v>181</v>
      </c>
      <c r="BN2" s="34" t="s">
        <v>14</v>
      </c>
      <c r="BO2" s="34" t="s">
        <v>13</v>
      </c>
      <c r="BP2" s="33" t="s">
        <v>180</v>
      </c>
      <c r="BQ2" s="33" t="s">
        <v>14</v>
      </c>
      <c r="BR2" s="34" t="s">
        <v>13</v>
      </c>
      <c r="BS2" s="34" t="s">
        <v>181</v>
      </c>
      <c r="BT2" s="33" t="s">
        <v>13</v>
      </c>
      <c r="BU2" s="33" t="s">
        <v>180</v>
      </c>
      <c r="BV2" s="34" t="s">
        <v>181</v>
      </c>
      <c r="BW2" s="34" t="s">
        <v>14</v>
      </c>
      <c r="BX2" s="33" t="s">
        <v>93</v>
      </c>
      <c r="BY2" s="33" t="s">
        <v>182</v>
      </c>
      <c r="BZ2" s="34" t="s">
        <v>114</v>
      </c>
      <c r="CA2" s="34" t="s">
        <v>183</v>
      </c>
      <c r="CB2" s="33" t="s">
        <v>93</v>
      </c>
      <c r="CC2" s="33" t="s">
        <v>114</v>
      </c>
      <c r="CD2" s="34" t="s">
        <v>183</v>
      </c>
      <c r="CE2" s="34" t="s">
        <v>182</v>
      </c>
      <c r="CF2" s="32" t="s">
        <v>183</v>
      </c>
      <c r="CG2" s="33" t="s">
        <v>93</v>
      </c>
      <c r="CH2" s="34" t="s">
        <v>182</v>
      </c>
      <c r="CI2" s="34" t="s">
        <v>114</v>
      </c>
      <c r="CJ2" s="33" t="s">
        <v>95</v>
      </c>
      <c r="CK2" s="33" t="s">
        <v>184</v>
      </c>
      <c r="CL2" s="34" t="s">
        <v>185</v>
      </c>
      <c r="CM2" s="34" t="s">
        <v>113</v>
      </c>
      <c r="CN2" s="33" t="s">
        <v>95</v>
      </c>
      <c r="CO2" s="33" t="s">
        <v>185</v>
      </c>
      <c r="CP2" s="34" t="s">
        <v>113</v>
      </c>
      <c r="CQ2" s="34" t="s">
        <v>184</v>
      </c>
      <c r="CR2" s="33" t="s">
        <v>113</v>
      </c>
      <c r="CS2" s="33" t="s">
        <v>95</v>
      </c>
      <c r="CT2" s="34" t="s">
        <v>184</v>
      </c>
      <c r="CU2" s="34" t="s">
        <v>185</v>
      </c>
      <c r="CV2" s="14" t="s">
        <v>0</v>
      </c>
      <c r="CW2" s="14" t="s">
        <v>186</v>
      </c>
      <c r="CX2" s="14" t="s">
        <v>187</v>
      </c>
      <c r="CY2" s="14" t="s">
        <v>188</v>
      </c>
      <c r="CZ2" s="14" t="s">
        <v>189</v>
      </c>
      <c r="DA2" s="4"/>
      <c r="DB2" s="4"/>
      <c r="DC2" s="4"/>
      <c r="DD2" s="4"/>
      <c r="DE2" s="4"/>
      <c r="DF2" s="4"/>
    </row>
    <row r="3">
      <c r="A3" s="9">
        <v>44883.92776121528</v>
      </c>
      <c r="B3" s="10" t="s">
        <v>25</v>
      </c>
      <c r="C3" s="10" t="s">
        <v>190</v>
      </c>
      <c r="D3" s="38">
        <v>1.0</v>
      </c>
      <c r="E3" s="38">
        <v>0.0</v>
      </c>
      <c r="F3" s="39">
        <v>0.0</v>
      </c>
      <c r="G3" s="39">
        <v>2.0</v>
      </c>
      <c r="H3" s="38">
        <v>0.0</v>
      </c>
      <c r="I3" s="38">
        <v>1.0</v>
      </c>
      <c r="J3" s="39">
        <v>2.0</v>
      </c>
      <c r="K3" s="39">
        <v>0.0</v>
      </c>
      <c r="L3" s="38">
        <v>2.0</v>
      </c>
      <c r="M3" s="38">
        <v>1.0</v>
      </c>
      <c r="N3" s="39">
        <v>1.0</v>
      </c>
      <c r="O3" s="39">
        <v>1.0</v>
      </c>
      <c r="P3" s="38">
        <v>2.0</v>
      </c>
      <c r="Q3" s="38">
        <v>0.0</v>
      </c>
      <c r="R3" s="39">
        <v>1.0</v>
      </c>
      <c r="S3" s="39">
        <v>1.0</v>
      </c>
      <c r="T3" s="38">
        <v>2.0</v>
      </c>
      <c r="U3" s="38">
        <v>0.0</v>
      </c>
      <c r="V3" s="39">
        <v>2.0</v>
      </c>
      <c r="W3" s="39">
        <v>1.0</v>
      </c>
      <c r="X3" s="38">
        <v>0.0</v>
      </c>
      <c r="Y3" s="38">
        <v>2.0</v>
      </c>
      <c r="Z3" s="39">
        <v>0.0</v>
      </c>
      <c r="AA3" s="39">
        <v>1.0</v>
      </c>
      <c r="AB3" s="38">
        <v>2.0</v>
      </c>
      <c r="AC3" s="38">
        <v>0.0</v>
      </c>
      <c r="AD3" s="39">
        <v>1.0</v>
      </c>
      <c r="AE3" s="39">
        <v>1.0</v>
      </c>
      <c r="AF3" s="38">
        <v>2.0</v>
      </c>
      <c r="AG3" s="38">
        <v>0.0</v>
      </c>
      <c r="AH3" s="39">
        <v>1.0</v>
      </c>
      <c r="AI3" s="39">
        <v>0.0</v>
      </c>
      <c r="AJ3" s="38">
        <v>1.0</v>
      </c>
      <c r="AK3" s="38">
        <v>2.0</v>
      </c>
      <c r="AL3" s="39">
        <v>0.0</v>
      </c>
      <c r="AM3" s="39">
        <v>2.0</v>
      </c>
      <c r="AN3" s="38">
        <v>3.0</v>
      </c>
      <c r="AO3" s="38">
        <v>0.0</v>
      </c>
      <c r="AP3" s="39">
        <v>2.0</v>
      </c>
      <c r="AQ3" s="39">
        <v>0.0</v>
      </c>
      <c r="AR3" s="38">
        <v>2.0</v>
      </c>
      <c r="AS3" s="38">
        <v>1.0</v>
      </c>
      <c r="AT3" s="39">
        <v>0.0</v>
      </c>
      <c r="AU3" s="39">
        <v>1.0</v>
      </c>
      <c r="AV3" s="38">
        <v>0.0</v>
      </c>
      <c r="AW3" s="38">
        <v>3.0</v>
      </c>
      <c r="AX3" s="39">
        <v>1.0</v>
      </c>
      <c r="AY3" s="39">
        <v>2.0</v>
      </c>
      <c r="AZ3" s="38">
        <v>2.0</v>
      </c>
      <c r="BA3" s="38">
        <v>0.0</v>
      </c>
      <c r="BB3" s="39">
        <v>2.0</v>
      </c>
      <c r="BC3" s="39">
        <v>0.0</v>
      </c>
      <c r="BD3" s="38">
        <v>1.0</v>
      </c>
      <c r="BE3" s="38">
        <v>2.0</v>
      </c>
      <c r="BF3" s="39">
        <v>1.0</v>
      </c>
      <c r="BG3" s="39">
        <v>1.0</v>
      </c>
      <c r="BH3" s="38">
        <v>0.0</v>
      </c>
      <c r="BI3" s="38">
        <v>2.0</v>
      </c>
      <c r="BJ3" s="39">
        <v>0.0</v>
      </c>
      <c r="BK3" s="39">
        <v>3.0</v>
      </c>
      <c r="BL3" s="38">
        <v>1.0</v>
      </c>
      <c r="BM3" s="38">
        <v>0.0</v>
      </c>
      <c r="BN3" s="39">
        <v>1.0</v>
      </c>
      <c r="BO3" s="39">
        <v>2.0</v>
      </c>
      <c r="BP3" s="38">
        <v>2.0</v>
      </c>
      <c r="BQ3" s="38">
        <v>0.0</v>
      </c>
      <c r="BR3" s="39">
        <v>2.0</v>
      </c>
      <c r="BS3" s="39">
        <v>1.0</v>
      </c>
      <c r="BT3" s="38">
        <v>0.0</v>
      </c>
      <c r="BU3" s="38">
        <v>1.0</v>
      </c>
      <c r="BV3" s="39">
        <v>0.0</v>
      </c>
      <c r="BW3" s="39">
        <v>2.0</v>
      </c>
      <c r="BX3" s="38">
        <v>2.0</v>
      </c>
      <c r="BY3" s="38">
        <v>0.0</v>
      </c>
      <c r="BZ3" s="39">
        <v>1.0</v>
      </c>
      <c r="CA3" s="39">
        <v>1.0</v>
      </c>
      <c r="CB3" s="38">
        <v>2.0</v>
      </c>
      <c r="CC3" s="38">
        <v>1.0</v>
      </c>
      <c r="CD3" s="39">
        <v>2.0</v>
      </c>
      <c r="CE3" s="39">
        <v>0.0</v>
      </c>
      <c r="CF3" s="38">
        <v>1.0</v>
      </c>
      <c r="CG3" s="38">
        <v>2.0</v>
      </c>
      <c r="CH3" s="39">
        <v>0.0</v>
      </c>
      <c r="CI3" s="39">
        <v>1.0</v>
      </c>
      <c r="CJ3" s="38">
        <v>2.0</v>
      </c>
      <c r="CK3" s="38">
        <v>0.0</v>
      </c>
      <c r="CL3" s="40">
        <v>1.0</v>
      </c>
      <c r="CM3" s="40">
        <v>0.0</v>
      </c>
      <c r="CN3" s="38">
        <v>1.0</v>
      </c>
      <c r="CO3" s="38">
        <v>0.0</v>
      </c>
      <c r="CP3" s="39">
        <v>0.0</v>
      </c>
      <c r="CQ3" s="39">
        <v>1.0</v>
      </c>
      <c r="CR3" s="38">
        <v>0.0</v>
      </c>
      <c r="CS3" s="38">
        <v>2.0</v>
      </c>
      <c r="CT3" s="39">
        <v>1.0</v>
      </c>
      <c r="CU3" s="39">
        <v>0.0</v>
      </c>
      <c r="CV3" s="25" t="s">
        <v>26</v>
      </c>
      <c r="CW3" s="10" t="s">
        <v>191</v>
      </c>
      <c r="CX3" s="10" t="s">
        <v>12</v>
      </c>
      <c r="CY3" s="10" t="s">
        <v>12</v>
      </c>
      <c r="CZ3" s="41"/>
    </row>
    <row r="4">
      <c r="A4" s="9">
        <v>44884.510685092595</v>
      </c>
      <c r="B4" s="10" t="s">
        <v>30</v>
      </c>
      <c r="C4" s="10" t="s">
        <v>190</v>
      </c>
      <c r="D4" s="38">
        <v>1.0</v>
      </c>
      <c r="E4" s="38">
        <v>2.0</v>
      </c>
      <c r="F4" s="39">
        <v>2.0</v>
      </c>
      <c r="G4" s="39">
        <v>3.0</v>
      </c>
      <c r="H4" s="38">
        <v>1.0</v>
      </c>
      <c r="I4" s="38">
        <v>1.0</v>
      </c>
      <c r="J4" s="39">
        <v>2.0</v>
      </c>
      <c r="K4" s="39">
        <v>0.0</v>
      </c>
      <c r="L4" s="38">
        <v>1.0</v>
      </c>
      <c r="M4" s="38">
        <v>1.0</v>
      </c>
      <c r="N4" s="39">
        <v>2.0</v>
      </c>
      <c r="O4" s="39">
        <v>2.0</v>
      </c>
      <c r="P4" s="38">
        <v>2.0</v>
      </c>
      <c r="Q4" s="38">
        <v>1.0</v>
      </c>
      <c r="R4" s="39">
        <v>0.0</v>
      </c>
      <c r="S4" s="39">
        <v>0.0</v>
      </c>
      <c r="T4" s="38">
        <v>3.0</v>
      </c>
      <c r="U4" s="38">
        <v>0.0</v>
      </c>
      <c r="V4" s="39">
        <v>2.0</v>
      </c>
      <c r="W4" s="39">
        <v>2.0</v>
      </c>
      <c r="X4" s="38">
        <v>3.0</v>
      </c>
      <c r="Y4" s="38">
        <v>3.0</v>
      </c>
      <c r="Z4" s="39">
        <v>1.0</v>
      </c>
      <c r="AA4" s="39">
        <v>0.0</v>
      </c>
      <c r="AB4" s="38">
        <v>3.0</v>
      </c>
      <c r="AC4" s="38">
        <v>1.0</v>
      </c>
      <c r="AD4" s="39">
        <v>2.0</v>
      </c>
      <c r="AE4" s="39">
        <v>0.0</v>
      </c>
      <c r="AF4" s="38">
        <v>1.0</v>
      </c>
      <c r="AG4" s="38">
        <v>1.0</v>
      </c>
      <c r="AH4" s="39">
        <v>2.0</v>
      </c>
      <c r="AI4" s="39">
        <v>1.0</v>
      </c>
      <c r="AJ4" s="38">
        <v>0.0</v>
      </c>
      <c r="AK4" s="38">
        <v>0.0</v>
      </c>
      <c r="AL4" s="39">
        <v>0.0</v>
      </c>
      <c r="AM4" s="39">
        <v>0.0</v>
      </c>
      <c r="AN4" s="38">
        <v>4.0</v>
      </c>
      <c r="AO4" s="38">
        <v>0.0</v>
      </c>
      <c r="AP4" s="39">
        <v>1.0</v>
      </c>
      <c r="AQ4" s="39">
        <v>0.0</v>
      </c>
      <c r="AR4" s="38">
        <v>1.0</v>
      </c>
      <c r="AS4" s="38">
        <v>1.0</v>
      </c>
      <c r="AT4" s="39">
        <v>0.0</v>
      </c>
      <c r="AU4" s="39">
        <v>0.0</v>
      </c>
      <c r="AV4" s="38">
        <v>0.0</v>
      </c>
      <c r="AW4" s="38">
        <v>2.0</v>
      </c>
      <c r="AX4" s="39">
        <v>1.0</v>
      </c>
      <c r="AY4" s="39">
        <v>2.0</v>
      </c>
      <c r="AZ4" s="38">
        <v>3.0</v>
      </c>
      <c r="BA4" s="38">
        <v>2.0</v>
      </c>
      <c r="BB4" s="39">
        <v>5.0</v>
      </c>
      <c r="BC4" s="39">
        <v>1.0</v>
      </c>
      <c r="BD4" s="38">
        <v>0.0</v>
      </c>
      <c r="BE4" s="38">
        <v>1.0</v>
      </c>
      <c r="BF4" s="39">
        <v>1.0</v>
      </c>
      <c r="BG4" s="39">
        <v>2.0</v>
      </c>
      <c r="BH4" s="38">
        <v>0.0</v>
      </c>
      <c r="BI4" s="38">
        <v>3.0</v>
      </c>
      <c r="BJ4" s="39">
        <v>1.0</v>
      </c>
      <c r="BK4" s="39">
        <v>1.0</v>
      </c>
      <c r="BL4" s="38">
        <v>3.0</v>
      </c>
      <c r="BM4" s="38">
        <v>0.0</v>
      </c>
      <c r="BN4" s="39">
        <v>0.0</v>
      </c>
      <c r="BO4" s="39">
        <v>1.0</v>
      </c>
      <c r="BP4" s="38">
        <v>2.0</v>
      </c>
      <c r="BQ4" s="38">
        <v>1.0</v>
      </c>
      <c r="BR4" s="39">
        <v>2.0</v>
      </c>
      <c r="BS4" s="39">
        <v>0.0</v>
      </c>
      <c r="BT4" s="38">
        <v>1.0</v>
      </c>
      <c r="BU4" s="38">
        <v>1.0</v>
      </c>
      <c r="BV4" s="39">
        <v>0.0</v>
      </c>
      <c r="BW4" s="39">
        <v>0.0</v>
      </c>
      <c r="BX4" s="38">
        <v>3.0</v>
      </c>
      <c r="BY4" s="38">
        <v>1.0</v>
      </c>
      <c r="BZ4" s="39">
        <v>0.0</v>
      </c>
      <c r="CA4" s="39">
        <v>0.0</v>
      </c>
      <c r="CB4" s="38">
        <v>2.0</v>
      </c>
      <c r="CC4" s="38">
        <v>1.0</v>
      </c>
      <c r="CD4" s="39">
        <v>1.0</v>
      </c>
      <c r="CE4" s="39">
        <v>1.0</v>
      </c>
      <c r="CF4" s="38">
        <v>2.0</v>
      </c>
      <c r="CG4" s="38">
        <v>2.0</v>
      </c>
      <c r="CH4" s="39">
        <v>0.0</v>
      </c>
      <c r="CI4" s="39">
        <v>1.0</v>
      </c>
      <c r="CJ4" s="38">
        <v>2.0</v>
      </c>
      <c r="CK4" s="38">
        <v>0.0</v>
      </c>
      <c r="CL4" s="40">
        <v>0.0</v>
      </c>
      <c r="CM4" s="40">
        <v>0.0</v>
      </c>
      <c r="CN4" s="38">
        <v>2.0</v>
      </c>
      <c r="CO4" s="38">
        <v>2.0</v>
      </c>
      <c r="CP4" s="39">
        <v>0.0</v>
      </c>
      <c r="CQ4" s="39">
        <v>1.0</v>
      </c>
      <c r="CR4" s="38">
        <v>0.0</v>
      </c>
      <c r="CS4" s="38">
        <v>4.0</v>
      </c>
      <c r="CT4" s="39">
        <v>1.0</v>
      </c>
      <c r="CU4" s="39">
        <v>3.0</v>
      </c>
      <c r="CV4" s="25" t="s">
        <v>61</v>
      </c>
      <c r="CW4" s="10" t="s">
        <v>191</v>
      </c>
      <c r="CX4" s="10" t="s">
        <v>11</v>
      </c>
      <c r="CY4" s="10" t="s">
        <v>93</v>
      </c>
    </row>
    <row r="5">
      <c r="A5" s="9">
        <v>44884.51742925926</v>
      </c>
      <c r="B5" s="10" t="s">
        <v>69</v>
      </c>
      <c r="C5" s="10" t="s">
        <v>190</v>
      </c>
      <c r="D5" s="38">
        <v>1.0</v>
      </c>
      <c r="E5" s="38">
        <v>1.0</v>
      </c>
      <c r="F5" s="39">
        <v>0.0</v>
      </c>
      <c r="G5" s="39">
        <v>2.0</v>
      </c>
      <c r="H5" s="38">
        <v>1.0</v>
      </c>
      <c r="I5" s="38">
        <v>2.0</v>
      </c>
      <c r="J5" s="39">
        <v>2.0</v>
      </c>
      <c r="K5" s="39">
        <v>0.0</v>
      </c>
      <c r="L5" s="38">
        <v>3.0</v>
      </c>
      <c r="M5" s="38">
        <v>1.0</v>
      </c>
      <c r="N5" s="39">
        <v>1.0</v>
      </c>
      <c r="O5" s="39">
        <v>1.0</v>
      </c>
      <c r="P5" s="38">
        <v>3.0</v>
      </c>
      <c r="Q5" s="38">
        <v>0.0</v>
      </c>
      <c r="R5" s="39">
        <v>2.0</v>
      </c>
      <c r="S5" s="39">
        <v>0.0</v>
      </c>
      <c r="T5" s="38">
        <v>1.0</v>
      </c>
      <c r="U5" s="38">
        <v>0.0</v>
      </c>
      <c r="V5" s="39">
        <v>0.0</v>
      </c>
      <c r="W5" s="39">
        <v>0.0</v>
      </c>
      <c r="X5" s="38">
        <v>1.0</v>
      </c>
      <c r="Y5" s="38">
        <v>2.0</v>
      </c>
      <c r="Z5" s="39">
        <v>0.0</v>
      </c>
      <c r="AA5" s="39">
        <v>1.0</v>
      </c>
      <c r="AB5" s="38">
        <v>3.0</v>
      </c>
      <c r="AC5" s="38">
        <v>0.0</v>
      </c>
      <c r="AD5" s="39">
        <v>1.0</v>
      </c>
      <c r="AE5" s="39">
        <v>1.0</v>
      </c>
      <c r="AF5" s="38">
        <v>2.0</v>
      </c>
      <c r="AG5" s="38">
        <v>0.0</v>
      </c>
      <c r="AH5" s="39">
        <v>2.0</v>
      </c>
      <c r="AI5" s="39">
        <v>1.0</v>
      </c>
      <c r="AJ5" s="38">
        <v>0.0</v>
      </c>
      <c r="AK5" s="38">
        <v>1.0</v>
      </c>
      <c r="AL5" s="39">
        <v>0.0</v>
      </c>
      <c r="AM5" s="39">
        <v>2.0</v>
      </c>
      <c r="AN5" s="38">
        <v>2.0</v>
      </c>
      <c r="AO5" s="38">
        <v>0.0</v>
      </c>
      <c r="AP5" s="39">
        <v>1.0</v>
      </c>
      <c r="AQ5" s="39">
        <v>0.0</v>
      </c>
      <c r="AR5" s="38">
        <v>2.0</v>
      </c>
      <c r="AS5" s="38">
        <v>2.0</v>
      </c>
      <c r="AT5" s="39">
        <v>2.0</v>
      </c>
      <c r="AU5" s="39">
        <v>1.0</v>
      </c>
      <c r="AV5" s="38">
        <v>1.0</v>
      </c>
      <c r="AW5" s="38">
        <v>3.0</v>
      </c>
      <c r="AX5" s="39">
        <v>0.0</v>
      </c>
      <c r="AY5" s="39">
        <v>1.0</v>
      </c>
      <c r="AZ5" s="38">
        <v>2.0</v>
      </c>
      <c r="BA5" s="38">
        <v>0.0</v>
      </c>
      <c r="BB5" s="39">
        <v>2.0</v>
      </c>
      <c r="BC5" s="39">
        <v>0.0</v>
      </c>
      <c r="BD5" s="38">
        <v>2.0</v>
      </c>
      <c r="BE5" s="38">
        <v>1.0</v>
      </c>
      <c r="BF5" s="39">
        <v>1.0</v>
      </c>
      <c r="BG5" s="39">
        <v>1.0</v>
      </c>
      <c r="BH5" s="38">
        <v>1.0</v>
      </c>
      <c r="BI5" s="38">
        <v>2.0</v>
      </c>
      <c r="BJ5" s="39">
        <v>0.0</v>
      </c>
      <c r="BK5" s="39">
        <v>3.0</v>
      </c>
      <c r="BL5" s="38">
        <v>2.0</v>
      </c>
      <c r="BM5" s="38">
        <v>1.0</v>
      </c>
      <c r="BN5" s="39">
        <v>1.0</v>
      </c>
      <c r="BO5" s="39">
        <v>1.0</v>
      </c>
      <c r="BP5" s="38">
        <v>2.0</v>
      </c>
      <c r="BQ5" s="38">
        <v>0.0</v>
      </c>
      <c r="BR5" s="39">
        <v>2.0</v>
      </c>
      <c r="BS5" s="39">
        <v>2.0</v>
      </c>
      <c r="BT5" s="38">
        <v>2.0</v>
      </c>
      <c r="BU5" s="38">
        <v>2.0</v>
      </c>
      <c r="BV5" s="39">
        <v>2.0</v>
      </c>
      <c r="BW5" s="39">
        <v>1.0</v>
      </c>
      <c r="BX5" s="38">
        <v>2.0</v>
      </c>
      <c r="BY5" s="38">
        <v>0.0</v>
      </c>
      <c r="BZ5" s="39">
        <v>1.0</v>
      </c>
      <c r="CA5" s="39">
        <v>1.0</v>
      </c>
      <c r="CB5" s="38">
        <v>3.0</v>
      </c>
      <c r="CC5" s="38">
        <v>0.0</v>
      </c>
      <c r="CD5" s="39">
        <v>1.0</v>
      </c>
      <c r="CE5" s="39">
        <v>2.0</v>
      </c>
      <c r="CF5" s="38">
        <v>1.0</v>
      </c>
      <c r="CG5" s="38">
        <v>3.0</v>
      </c>
      <c r="CH5" s="39">
        <v>2.0</v>
      </c>
      <c r="CI5" s="39">
        <v>0.0</v>
      </c>
      <c r="CJ5" s="38">
        <v>2.0</v>
      </c>
      <c r="CK5" s="38">
        <v>1.0</v>
      </c>
      <c r="CL5" s="40">
        <v>0.0</v>
      </c>
      <c r="CM5" s="40">
        <v>0.0</v>
      </c>
      <c r="CN5" s="38">
        <v>3.0</v>
      </c>
      <c r="CO5" s="38">
        <v>1.0</v>
      </c>
      <c r="CP5" s="39">
        <v>1.0</v>
      </c>
      <c r="CQ5" s="39">
        <v>1.0</v>
      </c>
      <c r="CR5" s="38">
        <v>1.0</v>
      </c>
      <c r="CS5" s="38">
        <v>2.0</v>
      </c>
      <c r="CT5" s="39">
        <v>1.0</v>
      </c>
      <c r="CU5" s="39">
        <v>1.0</v>
      </c>
      <c r="CV5" s="25" t="s">
        <v>46</v>
      </c>
      <c r="CW5" s="10" t="s">
        <v>192</v>
      </c>
      <c r="CX5" s="10" t="s">
        <v>11</v>
      </c>
      <c r="CY5" s="10" t="s">
        <v>93</v>
      </c>
    </row>
    <row r="6">
      <c r="A6" s="9">
        <v>44884.867173148145</v>
      </c>
      <c r="B6" s="10" t="s">
        <v>79</v>
      </c>
      <c r="C6" s="10" t="s">
        <v>190</v>
      </c>
      <c r="D6" s="38">
        <v>0.0</v>
      </c>
      <c r="E6" s="38">
        <v>2.0</v>
      </c>
      <c r="F6" s="39">
        <v>1.0</v>
      </c>
      <c r="G6" s="39">
        <v>3.0</v>
      </c>
      <c r="H6" s="38">
        <v>0.0</v>
      </c>
      <c r="I6" s="38">
        <v>1.0</v>
      </c>
      <c r="J6" s="39">
        <v>2.0</v>
      </c>
      <c r="K6" s="39">
        <v>1.0</v>
      </c>
      <c r="L6" s="38">
        <v>3.0</v>
      </c>
      <c r="M6" s="38">
        <v>0.0</v>
      </c>
      <c r="N6" s="39">
        <v>2.0</v>
      </c>
      <c r="O6" s="39">
        <v>1.0</v>
      </c>
      <c r="P6" s="38">
        <v>3.0</v>
      </c>
      <c r="Q6" s="38">
        <v>1.0</v>
      </c>
      <c r="R6" s="39">
        <v>2.0</v>
      </c>
      <c r="S6" s="39">
        <v>1.0</v>
      </c>
      <c r="T6" s="38">
        <v>2.0</v>
      </c>
      <c r="U6" s="38">
        <v>1.0</v>
      </c>
      <c r="V6" s="39">
        <v>1.0</v>
      </c>
      <c r="W6" s="39">
        <v>1.0</v>
      </c>
      <c r="X6" s="38">
        <v>1.0</v>
      </c>
      <c r="Y6" s="38">
        <v>2.0</v>
      </c>
      <c r="Z6" s="39">
        <v>0.0</v>
      </c>
      <c r="AA6" s="39">
        <v>2.0</v>
      </c>
      <c r="AB6" s="38">
        <v>4.0</v>
      </c>
      <c r="AC6" s="38">
        <v>0.0</v>
      </c>
      <c r="AD6" s="39">
        <v>1.0</v>
      </c>
      <c r="AE6" s="39">
        <v>0.0</v>
      </c>
      <c r="AF6" s="38">
        <v>2.0</v>
      </c>
      <c r="AG6" s="38">
        <v>0.0</v>
      </c>
      <c r="AH6" s="39">
        <v>2.0</v>
      </c>
      <c r="AI6" s="39">
        <v>0.0</v>
      </c>
      <c r="AJ6" s="38">
        <v>1.0</v>
      </c>
      <c r="AK6" s="38">
        <v>3.0</v>
      </c>
      <c r="AL6" s="39">
        <v>1.0</v>
      </c>
      <c r="AM6" s="39">
        <v>2.0</v>
      </c>
      <c r="AN6" s="38">
        <v>2.0</v>
      </c>
      <c r="AO6" s="38">
        <v>1.0</v>
      </c>
      <c r="AP6" s="39">
        <v>2.0</v>
      </c>
      <c r="AQ6" s="39">
        <v>0.0</v>
      </c>
      <c r="AR6" s="38">
        <v>2.0</v>
      </c>
      <c r="AS6" s="38">
        <v>2.0</v>
      </c>
      <c r="AT6" s="39">
        <v>1.0</v>
      </c>
      <c r="AU6" s="39">
        <v>1.0</v>
      </c>
      <c r="AV6" s="38">
        <v>1.0</v>
      </c>
      <c r="AW6" s="38">
        <v>2.0</v>
      </c>
      <c r="AX6" s="39">
        <v>1.0</v>
      </c>
      <c r="AY6" s="39">
        <v>2.0</v>
      </c>
      <c r="AZ6" s="38">
        <v>2.0</v>
      </c>
      <c r="BA6" s="38">
        <v>1.0</v>
      </c>
      <c r="BB6" s="39">
        <v>2.0</v>
      </c>
      <c r="BC6" s="39">
        <v>0.0</v>
      </c>
      <c r="BD6" s="38">
        <v>2.0</v>
      </c>
      <c r="BE6" s="38">
        <v>1.0</v>
      </c>
      <c r="BF6" s="39">
        <v>1.0</v>
      </c>
      <c r="BG6" s="39">
        <v>1.0</v>
      </c>
      <c r="BH6" s="38">
        <v>0.0</v>
      </c>
      <c r="BI6" s="38">
        <v>1.0</v>
      </c>
      <c r="BJ6" s="39">
        <v>1.0</v>
      </c>
      <c r="BK6" s="39">
        <v>3.0</v>
      </c>
      <c r="BL6" s="38">
        <v>2.0</v>
      </c>
      <c r="BM6" s="38">
        <v>0.0</v>
      </c>
      <c r="BN6" s="39">
        <v>1.0</v>
      </c>
      <c r="BO6" s="39">
        <v>2.0</v>
      </c>
      <c r="BP6" s="38">
        <v>2.0</v>
      </c>
      <c r="BQ6" s="38">
        <v>1.0</v>
      </c>
      <c r="BR6" s="39">
        <v>1.0</v>
      </c>
      <c r="BS6" s="39">
        <v>1.0</v>
      </c>
      <c r="BT6" s="38">
        <v>1.0</v>
      </c>
      <c r="BU6" s="38">
        <v>2.0</v>
      </c>
      <c r="BV6" s="39">
        <v>1.0</v>
      </c>
      <c r="BW6" s="39">
        <v>1.0</v>
      </c>
      <c r="BX6" s="38">
        <v>1.0</v>
      </c>
      <c r="BY6" s="38">
        <v>1.0</v>
      </c>
      <c r="BZ6" s="39">
        <v>1.0</v>
      </c>
      <c r="CA6" s="39">
        <v>1.0</v>
      </c>
      <c r="CB6" s="38">
        <v>2.0</v>
      </c>
      <c r="CC6" s="38">
        <v>0.0</v>
      </c>
      <c r="CD6" s="39">
        <v>2.0</v>
      </c>
      <c r="CE6" s="39">
        <v>1.0</v>
      </c>
      <c r="CF6" s="38">
        <v>1.0</v>
      </c>
      <c r="CG6" s="38">
        <v>1.0</v>
      </c>
      <c r="CH6" s="39">
        <v>2.0</v>
      </c>
      <c r="CI6" s="39">
        <v>1.0</v>
      </c>
      <c r="CJ6" s="38">
        <v>2.0</v>
      </c>
      <c r="CK6" s="38">
        <v>1.0</v>
      </c>
      <c r="CL6" s="40">
        <v>2.0</v>
      </c>
      <c r="CM6" s="40">
        <v>1.0</v>
      </c>
      <c r="CN6" s="38">
        <v>1.0</v>
      </c>
      <c r="CO6" s="38">
        <v>2.0</v>
      </c>
      <c r="CP6" s="39">
        <v>1.0</v>
      </c>
      <c r="CQ6" s="39">
        <v>2.0</v>
      </c>
      <c r="CR6" s="38">
        <v>1.0</v>
      </c>
      <c r="CS6" s="38">
        <v>2.0</v>
      </c>
      <c r="CT6" s="39">
        <v>0.0</v>
      </c>
      <c r="CU6" s="39">
        <v>1.0</v>
      </c>
      <c r="CV6" s="25" t="s">
        <v>80</v>
      </c>
      <c r="CW6" s="10" t="s">
        <v>193</v>
      </c>
      <c r="CX6" s="10" t="s">
        <v>194</v>
      </c>
      <c r="CY6" s="10" t="s">
        <v>11</v>
      </c>
    </row>
    <row r="7">
      <c r="A7" s="9">
        <v>44884.517430555556</v>
      </c>
      <c r="B7" s="10" t="s">
        <v>59</v>
      </c>
      <c r="C7" s="10" t="s">
        <v>190</v>
      </c>
      <c r="D7" s="38">
        <v>0.0</v>
      </c>
      <c r="E7" s="38">
        <v>2.0</v>
      </c>
      <c r="F7" s="39">
        <v>0.0</v>
      </c>
      <c r="G7" s="39">
        <v>1.0</v>
      </c>
      <c r="H7" s="38">
        <v>1.0</v>
      </c>
      <c r="I7" s="38">
        <v>2.0</v>
      </c>
      <c r="J7" s="39">
        <v>2.0</v>
      </c>
      <c r="K7" s="39">
        <v>2.0</v>
      </c>
      <c r="L7" s="38">
        <v>2.0</v>
      </c>
      <c r="M7" s="38">
        <v>0.0</v>
      </c>
      <c r="N7" s="39">
        <v>0.0</v>
      </c>
      <c r="O7" s="39">
        <v>1.0</v>
      </c>
      <c r="P7" s="38">
        <v>2.0</v>
      </c>
      <c r="Q7" s="38">
        <v>0.0</v>
      </c>
      <c r="R7" s="39">
        <v>1.0</v>
      </c>
      <c r="S7" s="39">
        <v>0.0</v>
      </c>
      <c r="T7" s="38">
        <v>2.0</v>
      </c>
      <c r="U7" s="38">
        <v>1.0</v>
      </c>
      <c r="V7" s="39">
        <v>2.0</v>
      </c>
      <c r="W7" s="39">
        <v>0.0</v>
      </c>
      <c r="X7" s="38">
        <v>0.0</v>
      </c>
      <c r="Y7" s="38">
        <v>3.0</v>
      </c>
      <c r="Z7" s="39">
        <v>0.0</v>
      </c>
      <c r="AA7" s="39">
        <v>0.0</v>
      </c>
      <c r="AB7" s="38">
        <v>3.0</v>
      </c>
      <c r="AC7" s="38">
        <v>0.0</v>
      </c>
      <c r="AD7" s="39">
        <v>2.0</v>
      </c>
      <c r="AE7" s="39">
        <v>2.0</v>
      </c>
      <c r="AF7" s="38">
        <v>3.0</v>
      </c>
      <c r="AG7" s="38">
        <v>1.0</v>
      </c>
      <c r="AH7" s="39">
        <v>2.0</v>
      </c>
      <c r="AI7" s="39">
        <v>0.0</v>
      </c>
      <c r="AJ7" s="38">
        <v>0.0</v>
      </c>
      <c r="AK7" s="38">
        <v>0.0</v>
      </c>
      <c r="AL7" s="39">
        <v>1.0</v>
      </c>
      <c r="AM7" s="39">
        <v>1.0</v>
      </c>
      <c r="AN7" s="38">
        <v>2.0</v>
      </c>
      <c r="AO7" s="38">
        <v>1.0</v>
      </c>
      <c r="AP7" s="39">
        <v>1.0</v>
      </c>
      <c r="AQ7" s="39">
        <v>0.0</v>
      </c>
      <c r="AR7" s="38">
        <v>2.0</v>
      </c>
      <c r="AS7" s="38">
        <v>0.0</v>
      </c>
      <c r="AT7" s="39">
        <v>1.0</v>
      </c>
      <c r="AU7" s="39">
        <v>1.0</v>
      </c>
      <c r="AV7" s="38">
        <v>1.0</v>
      </c>
      <c r="AW7" s="38">
        <v>3.0</v>
      </c>
      <c r="AX7" s="39">
        <v>0.0</v>
      </c>
      <c r="AY7" s="39">
        <v>0.0</v>
      </c>
      <c r="AZ7" s="38">
        <v>2.0</v>
      </c>
      <c r="BA7" s="38">
        <v>0.0</v>
      </c>
      <c r="BB7" s="39">
        <v>1.0</v>
      </c>
      <c r="BC7" s="39">
        <v>0.0</v>
      </c>
      <c r="BD7" s="38">
        <v>2.0</v>
      </c>
      <c r="BE7" s="38">
        <v>2.0</v>
      </c>
      <c r="BF7" s="39">
        <v>2.0</v>
      </c>
      <c r="BG7" s="39">
        <v>0.0</v>
      </c>
      <c r="BH7" s="38">
        <v>1.0</v>
      </c>
      <c r="BI7" s="38">
        <v>2.0</v>
      </c>
      <c r="BJ7" s="39">
        <v>1.0</v>
      </c>
      <c r="BK7" s="39">
        <v>4.0</v>
      </c>
      <c r="BL7" s="38">
        <v>2.0</v>
      </c>
      <c r="BM7" s="38">
        <v>1.0</v>
      </c>
      <c r="BN7" s="39">
        <v>1.0</v>
      </c>
      <c r="BO7" s="39">
        <v>2.0</v>
      </c>
      <c r="BP7" s="38">
        <v>1.0</v>
      </c>
      <c r="BQ7" s="38">
        <v>1.0</v>
      </c>
      <c r="BR7" s="39">
        <v>2.0</v>
      </c>
      <c r="BS7" s="39">
        <v>2.0</v>
      </c>
      <c r="BT7" s="38">
        <v>1.0</v>
      </c>
      <c r="BU7" s="38">
        <v>0.0</v>
      </c>
      <c r="BV7" s="39">
        <v>2.0</v>
      </c>
      <c r="BW7" s="39">
        <v>1.0</v>
      </c>
      <c r="BX7" s="38">
        <v>4.0</v>
      </c>
      <c r="BY7" s="38">
        <v>0.0</v>
      </c>
      <c r="BZ7" s="39">
        <v>1.0</v>
      </c>
      <c r="CA7" s="39">
        <v>2.0</v>
      </c>
      <c r="CB7" s="38">
        <v>3.0</v>
      </c>
      <c r="CC7" s="38">
        <v>0.0</v>
      </c>
      <c r="CD7" s="39">
        <v>2.0</v>
      </c>
      <c r="CE7" s="39">
        <v>1.0</v>
      </c>
      <c r="CF7" s="38">
        <v>2.0</v>
      </c>
      <c r="CG7" s="38">
        <v>4.0</v>
      </c>
      <c r="CH7" s="39">
        <v>1.0</v>
      </c>
      <c r="CI7" s="39">
        <v>1.0</v>
      </c>
      <c r="CJ7" s="38">
        <v>2.0</v>
      </c>
      <c r="CK7" s="38">
        <v>1.0</v>
      </c>
      <c r="CL7" s="40">
        <v>2.0</v>
      </c>
      <c r="CM7" s="40">
        <v>1.0</v>
      </c>
      <c r="CN7" s="38">
        <v>2.0</v>
      </c>
      <c r="CO7" s="38">
        <v>2.0</v>
      </c>
      <c r="CP7" s="39">
        <v>2.0</v>
      </c>
      <c r="CQ7" s="39">
        <v>1.0</v>
      </c>
      <c r="CR7" s="38">
        <v>1.0</v>
      </c>
      <c r="CS7" s="38">
        <v>3.0</v>
      </c>
      <c r="CT7" s="39">
        <v>2.0</v>
      </c>
      <c r="CU7" s="39">
        <v>2.0</v>
      </c>
      <c r="CV7" s="25" t="s">
        <v>60</v>
      </c>
      <c r="CW7" s="10" t="s">
        <v>195</v>
      </c>
      <c r="CX7" s="10" t="s">
        <v>178</v>
      </c>
      <c r="CY7" s="10" t="s">
        <v>93</v>
      </c>
    </row>
    <row r="8">
      <c r="A8" s="9">
        <v>44884.517430555556</v>
      </c>
      <c r="B8" s="10" t="s">
        <v>74</v>
      </c>
      <c r="C8" s="10" t="s">
        <v>190</v>
      </c>
      <c r="D8" s="38">
        <v>1.0</v>
      </c>
      <c r="E8" s="38">
        <v>2.0</v>
      </c>
      <c r="F8" s="39">
        <v>0.0</v>
      </c>
      <c r="G8" s="39">
        <v>3.0</v>
      </c>
      <c r="H8" s="38">
        <v>0.0</v>
      </c>
      <c r="I8" s="38">
        <v>2.0</v>
      </c>
      <c r="J8" s="39">
        <v>2.0</v>
      </c>
      <c r="K8" s="39">
        <v>0.0</v>
      </c>
      <c r="L8" s="38">
        <v>5.0</v>
      </c>
      <c r="M8" s="38">
        <v>0.0</v>
      </c>
      <c r="N8" s="39">
        <v>1.0</v>
      </c>
      <c r="O8" s="39">
        <v>3.0</v>
      </c>
      <c r="P8" s="38">
        <v>4.0</v>
      </c>
      <c r="Q8" s="38">
        <v>0.0</v>
      </c>
      <c r="R8" s="39">
        <v>0.0</v>
      </c>
      <c r="S8" s="39">
        <v>1.0</v>
      </c>
      <c r="T8" s="38">
        <v>2.0</v>
      </c>
      <c r="U8" s="38">
        <v>1.0</v>
      </c>
      <c r="V8" s="39">
        <v>2.0</v>
      </c>
      <c r="W8" s="39">
        <v>1.0</v>
      </c>
      <c r="X8" s="38">
        <v>1.0</v>
      </c>
      <c r="Y8" s="38">
        <v>1.0</v>
      </c>
      <c r="Z8" s="39">
        <v>0.0</v>
      </c>
      <c r="AA8" s="39">
        <v>1.0</v>
      </c>
      <c r="AB8" s="38">
        <v>4.0</v>
      </c>
      <c r="AC8" s="38">
        <v>0.0</v>
      </c>
      <c r="AD8" s="39">
        <v>1.0</v>
      </c>
      <c r="AE8" s="39">
        <v>1.0</v>
      </c>
      <c r="AF8" s="38">
        <v>2.0</v>
      </c>
      <c r="AG8" s="38">
        <v>1.0</v>
      </c>
      <c r="AH8" s="39">
        <v>2.0</v>
      </c>
      <c r="AI8" s="39">
        <v>0.0</v>
      </c>
      <c r="AJ8" s="38">
        <v>1.0</v>
      </c>
      <c r="AK8" s="38">
        <v>3.0</v>
      </c>
      <c r="AL8" s="39">
        <v>0.0</v>
      </c>
      <c r="AM8" s="39">
        <v>1.0</v>
      </c>
      <c r="AN8" s="38">
        <v>3.0</v>
      </c>
      <c r="AO8" s="38">
        <v>0.0</v>
      </c>
      <c r="AP8" s="39">
        <v>2.0</v>
      </c>
      <c r="AQ8" s="39">
        <v>1.0</v>
      </c>
      <c r="AR8" s="38">
        <v>1.0</v>
      </c>
      <c r="AS8" s="38">
        <v>1.0</v>
      </c>
      <c r="AT8" s="39">
        <v>1.0</v>
      </c>
      <c r="AU8" s="39">
        <v>0.0</v>
      </c>
      <c r="AV8" s="38">
        <v>1.0</v>
      </c>
      <c r="AW8" s="38">
        <v>3.0</v>
      </c>
      <c r="AX8" s="39">
        <v>0.0</v>
      </c>
      <c r="AY8" s="39">
        <v>1.0</v>
      </c>
      <c r="AZ8" s="38">
        <v>2.0</v>
      </c>
      <c r="BA8" s="38">
        <v>0.0</v>
      </c>
      <c r="BB8" s="39">
        <v>3.0</v>
      </c>
      <c r="BC8" s="39">
        <v>1.0</v>
      </c>
      <c r="BD8" s="38">
        <v>0.0</v>
      </c>
      <c r="BE8" s="38">
        <v>1.0</v>
      </c>
      <c r="BF8" s="39">
        <v>2.0</v>
      </c>
      <c r="BG8" s="39">
        <v>2.0</v>
      </c>
      <c r="BH8" s="38">
        <v>0.0</v>
      </c>
      <c r="BI8" s="38">
        <v>1.0</v>
      </c>
      <c r="BJ8" s="39">
        <v>0.0</v>
      </c>
      <c r="BK8" s="39">
        <v>2.0</v>
      </c>
      <c r="BL8" s="38">
        <v>2.0</v>
      </c>
      <c r="BM8" s="38">
        <v>1.0</v>
      </c>
      <c r="BN8" s="39">
        <v>1.0</v>
      </c>
      <c r="BO8" s="39">
        <v>1.0</v>
      </c>
      <c r="BP8" s="38">
        <v>3.0</v>
      </c>
      <c r="BQ8" s="38">
        <v>2.0</v>
      </c>
      <c r="BR8" s="39">
        <v>2.0</v>
      </c>
      <c r="BS8" s="39">
        <v>0.0</v>
      </c>
      <c r="BT8" s="38">
        <v>0.0</v>
      </c>
      <c r="BU8" s="38">
        <v>1.0</v>
      </c>
      <c r="BV8" s="39">
        <v>0.0</v>
      </c>
      <c r="BW8" s="39">
        <v>1.0</v>
      </c>
      <c r="BX8" s="38">
        <v>0.0</v>
      </c>
      <c r="BY8" s="38">
        <v>1.0</v>
      </c>
      <c r="BZ8" s="39">
        <v>0.0</v>
      </c>
      <c r="CA8" s="39">
        <v>2.0</v>
      </c>
      <c r="CB8" s="38">
        <v>3.0</v>
      </c>
      <c r="CC8" s="38">
        <v>0.0</v>
      </c>
      <c r="CD8" s="39">
        <v>1.0</v>
      </c>
      <c r="CE8" s="39">
        <v>1.0</v>
      </c>
      <c r="CF8" s="38">
        <v>0.0</v>
      </c>
      <c r="CG8" s="38">
        <v>4.0</v>
      </c>
      <c r="CH8" s="39">
        <v>2.0</v>
      </c>
      <c r="CI8" s="39">
        <v>1.0</v>
      </c>
      <c r="CJ8" s="38">
        <v>1.0</v>
      </c>
      <c r="CK8" s="38">
        <v>0.0</v>
      </c>
      <c r="CL8" s="40">
        <v>3.0</v>
      </c>
      <c r="CM8" s="40">
        <v>0.0</v>
      </c>
      <c r="CN8" s="38">
        <v>1.0</v>
      </c>
      <c r="CO8" s="38">
        <v>1.0</v>
      </c>
      <c r="CP8" s="39">
        <v>0.0</v>
      </c>
      <c r="CQ8" s="39">
        <v>2.0</v>
      </c>
      <c r="CR8" s="38">
        <v>1.0</v>
      </c>
      <c r="CS8" s="38">
        <v>3.0</v>
      </c>
      <c r="CT8" s="39">
        <v>0.0</v>
      </c>
      <c r="CU8" s="39">
        <v>1.0</v>
      </c>
      <c r="CV8" s="25" t="s">
        <v>45</v>
      </c>
      <c r="CW8" s="10" t="s">
        <v>196</v>
      </c>
      <c r="CX8" s="10" t="s">
        <v>178</v>
      </c>
      <c r="CY8" s="10" t="s">
        <v>11</v>
      </c>
    </row>
    <row r="9">
      <c r="A9" s="9">
        <v>44884.517430555556</v>
      </c>
      <c r="B9" s="10" t="s">
        <v>27</v>
      </c>
      <c r="C9" s="10" t="s">
        <v>190</v>
      </c>
      <c r="D9" s="38">
        <v>0.0</v>
      </c>
      <c r="E9" s="38">
        <v>1.0</v>
      </c>
      <c r="F9" s="39">
        <v>1.0</v>
      </c>
      <c r="G9" s="39">
        <v>2.0</v>
      </c>
      <c r="H9" s="38">
        <v>0.0</v>
      </c>
      <c r="I9" s="38">
        <v>2.0</v>
      </c>
      <c r="J9" s="39">
        <v>1.0</v>
      </c>
      <c r="K9" s="39">
        <v>0.0</v>
      </c>
      <c r="L9" s="38">
        <v>3.0</v>
      </c>
      <c r="M9" s="38">
        <v>0.0</v>
      </c>
      <c r="N9" s="39">
        <v>1.0</v>
      </c>
      <c r="O9" s="39">
        <v>1.0</v>
      </c>
      <c r="P9" s="38">
        <v>3.0</v>
      </c>
      <c r="Q9" s="38">
        <v>0.0</v>
      </c>
      <c r="R9" s="39">
        <v>2.0</v>
      </c>
      <c r="S9" s="39">
        <v>1.0</v>
      </c>
      <c r="T9" s="38">
        <v>2.0</v>
      </c>
      <c r="U9" s="38">
        <v>0.0</v>
      </c>
      <c r="V9" s="39">
        <v>1.0</v>
      </c>
      <c r="W9" s="39">
        <v>0.0</v>
      </c>
      <c r="X9" s="38">
        <v>1.0</v>
      </c>
      <c r="Y9" s="38">
        <v>2.0</v>
      </c>
      <c r="Z9" s="39">
        <v>1.0</v>
      </c>
      <c r="AA9" s="39">
        <v>3.0</v>
      </c>
      <c r="AB9" s="38">
        <v>4.0</v>
      </c>
      <c r="AC9" s="38">
        <v>0.0</v>
      </c>
      <c r="AD9" s="39">
        <v>1.0</v>
      </c>
      <c r="AE9" s="39">
        <v>0.0</v>
      </c>
      <c r="AF9" s="38">
        <v>2.0</v>
      </c>
      <c r="AG9" s="38">
        <v>1.0</v>
      </c>
      <c r="AH9" s="39">
        <v>2.0</v>
      </c>
      <c r="AI9" s="39">
        <v>0.0</v>
      </c>
      <c r="AJ9" s="38">
        <v>1.0</v>
      </c>
      <c r="AK9" s="38">
        <v>3.0</v>
      </c>
      <c r="AL9" s="39">
        <v>0.0</v>
      </c>
      <c r="AM9" s="39">
        <v>3.0</v>
      </c>
      <c r="AN9" s="38">
        <v>2.0</v>
      </c>
      <c r="AO9" s="38">
        <v>0.0</v>
      </c>
      <c r="AP9" s="39">
        <v>1.0</v>
      </c>
      <c r="AQ9" s="39">
        <v>0.0</v>
      </c>
      <c r="AR9" s="38">
        <v>2.0</v>
      </c>
      <c r="AS9" s="38">
        <v>1.0</v>
      </c>
      <c r="AT9" s="39">
        <v>1.0</v>
      </c>
      <c r="AU9" s="39">
        <v>1.0</v>
      </c>
      <c r="AV9" s="38">
        <v>0.0</v>
      </c>
      <c r="AW9" s="38">
        <v>1.0</v>
      </c>
      <c r="AX9" s="39">
        <v>0.0</v>
      </c>
      <c r="AY9" s="39">
        <v>0.0</v>
      </c>
      <c r="AZ9" s="38">
        <v>2.0</v>
      </c>
      <c r="BA9" s="38">
        <v>1.0</v>
      </c>
      <c r="BB9" s="39">
        <v>2.0</v>
      </c>
      <c r="BC9" s="39">
        <v>1.0</v>
      </c>
      <c r="BD9" s="38">
        <v>0.0</v>
      </c>
      <c r="BE9" s="38">
        <v>1.0</v>
      </c>
      <c r="BF9" s="39">
        <v>1.0</v>
      </c>
      <c r="BG9" s="39">
        <v>0.0</v>
      </c>
      <c r="BH9" s="38">
        <v>1.0</v>
      </c>
      <c r="BI9" s="38">
        <v>2.0</v>
      </c>
      <c r="BJ9" s="39">
        <v>0.0</v>
      </c>
      <c r="BK9" s="39">
        <v>3.0</v>
      </c>
      <c r="BL9" s="38">
        <v>2.0</v>
      </c>
      <c r="BM9" s="38">
        <v>0.0</v>
      </c>
      <c r="BN9" s="39">
        <v>0.0</v>
      </c>
      <c r="BO9" s="39">
        <v>1.0</v>
      </c>
      <c r="BP9" s="38">
        <v>1.0</v>
      </c>
      <c r="BQ9" s="38">
        <v>0.0</v>
      </c>
      <c r="BR9" s="39">
        <v>1.0</v>
      </c>
      <c r="BS9" s="39">
        <v>0.0</v>
      </c>
      <c r="BT9" s="38">
        <v>2.0</v>
      </c>
      <c r="BU9" s="38">
        <v>2.0</v>
      </c>
      <c r="BV9" s="39">
        <v>0.0</v>
      </c>
      <c r="BW9" s="39">
        <v>1.0</v>
      </c>
      <c r="BX9" s="38">
        <v>4.0</v>
      </c>
      <c r="BY9" s="38">
        <v>0.0</v>
      </c>
      <c r="BZ9" s="39">
        <v>0.0</v>
      </c>
      <c r="CA9" s="39">
        <v>2.0</v>
      </c>
      <c r="CB9" s="38">
        <v>3.0</v>
      </c>
      <c r="CC9" s="38">
        <v>0.0</v>
      </c>
      <c r="CD9" s="39">
        <v>2.0</v>
      </c>
      <c r="CE9" s="39">
        <v>1.0</v>
      </c>
      <c r="CF9" s="38">
        <v>1.0</v>
      </c>
      <c r="CG9" s="38">
        <v>3.0</v>
      </c>
      <c r="CH9" s="39">
        <v>0.0</v>
      </c>
      <c r="CI9" s="39">
        <v>0.0</v>
      </c>
      <c r="CJ9" s="38">
        <v>2.0</v>
      </c>
      <c r="CK9" s="38">
        <v>0.0</v>
      </c>
      <c r="CL9" s="40">
        <v>1.0</v>
      </c>
      <c r="CM9" s="40">
        <v>0.0</v>
      </c>
      <c r="CN9" s="38">
        <v>2.0</v>
      </c>
      <c r="CO9" s="38">
        <v>1.0</v>
      </c>
      <c r="CP9" s="39">
        <v>1.0</v>
      </c>
      <c r="CQ9" s="39">
        <v>1.0</v>
      </c>
      <c r="CR9" s="38">
        <v>0.0</v>
      </c>
      <c r="CS9" s="38">
        <v>3.0</v>
      </c>
      <c r="CT9" s="39">
        <v>0.0</v>
      </c>
      <c r="CU9" s="39">
        <v>1.0</v>
      </c>
      <c r="CV9" s="25" t="s">
        <v>68</v>
      </c>
      <c r="CW9" s="10" t="s">
        <v>196</v>
      </c>
      <c r="CX9" s="10" t="s">
        <v>178</v>
      </c>
      <c r="CY9" s="10" t="s">
        <v>93</v>
      </c>
    </row>
    <row r="10">
      <c r="A10" s="9">
        <v>44884.517430555556</v>
      </c>
      <c r="B10" s="10" t="s">
        <v>197</v>
      </c>
      <c r="C10" s="10" t="s">
        <v>190</v>
      </c>
      <c r="D10" s="38">
        <v>1.0</v>
      </c>
      <c r="E10" s="38">
        <v>0.0</v>
      </c>
      <c r="F10" s="39">
        <v>1.0</v>
      </c>
      <c r="G10" s="39">
        <v>2.0</v>
      </c>
      <c r="H10" s="38">
        <v>2.0</v>
      </c>
      <c r="I10" s="38">
        <v>1.0</v>
      </c>
      <c r="J10" s="39">
        <v>3.0</v>
      </c>
      <c r="K10" s="39">
        <v>1.0</v>
      </c>
      <c r="L10" s="38">
        <v>2.0</v>
      </c>
      <c r="M10" s="38">
        <v>0.0</v>
      </c>
      <c r="N10" s="39">
        <v>2.0</v>
      </c>
      <c r="O10" s="39">
        <v>1.0</v>
      </c>
      <c r="P10" s="38">
        <v>4.0</v>
      </c>
      <c r="Q10" s="38">
        <v>0.0</v>
      </c>
      <c r="R10" s="39">
        <v>1.0</v>
      </c>
      <c r="S10" s="39">
        <v>1.0</v>
      </c>
      <c r="T10" s="38">
        <v>3.0</v>
      </c>
      <c r="U10" s="38">
        <v>1.0</v>
      </c>
      <c r="V10" s="39">
        <v>2.0</v>
      </c>
      <c r="W10" s="39">
        <v>0.0</v>
      </c>
      <c r="X10" s="38">
        <v>1.0</v>
      </c>
      <c r="Y10" s="38">
        <v>2.0</v>
      </c>
      <c r="Z10" s="39">
        <v>0.0</v>
      </c>
      <c r="AA10" s="39">
        <v>1.0</v>
      </c>
      <c r="AB10" s="38">
        <v>3.0</v>
      </c>
      <c r="AC10" s="38">
        <v>1.0</v>
      </c>
      <c r="AD10" s="39">
        <v>1.0</v>
      </c>
      <c r="AE10" s="39">
        <v>2.0</v>
      </c>
      <c r="AF10" s="38">
        <v>3.0</v>
      </c>
      <c r="AG10" s="38">
        <v>1.0</v>
      </c>
      <c r="AH10" s="39">
        <v>4.0</v>
      </c>
      <c r="AI10" s="39">
        <v>1.0</v>
      </c>
      <c r="AJ10" s="38">
        <v>2.0</v>
      </c>
      <c r="AK10" s="38">
        <v>2.0</v>
      </c>
      <c r="AL10" s="39">
        <v>0.0</v>
      </c>
      <c r="AM10" s="39">
        <v>2.0</v>
      </c>
      <c r="AN10" s="38">
        <v>2.0</v>
      </c>
      <c r="AO10" s="38">
        <v>0.0</v>
      </c>
      <c r="AP10" s="39">
        <v>3.0</v>
      </c>
      <c r="AQ10" s="39">
        <v>1.0</v>
      </c>
      <c r="AR10" s="38">
        <v>2.0</v>
      </c>
      <c r="AS10" s="38">
        <v>1.0</v>
      </c>
      <c r="AT10" s="39">
        <v>3.0</v>
      </c>
      <c r="AU10" s="39">
        <v>2.0</v>
      </c>
      <c r="AV10" s="38">
        <v>1.0</v>
      </c>
      <c r="AW10" s="38">
        <v>2.0</v>
      </c>
      <c r="AX10" s="39">
        <v>0.0</v>
      </c>
      <c r="AY10" s="39">
        <v>3.0</v>
      </c>
      <c r="AZ10" s="38">
        <v>4.0</v>
      </c>
      <c r="BA10" s="38">
        <v>0.0</v>
      </c>
      <c r="BB10" s="39">
        <v>3.0</v>
      </c>
      <c r="BC10" s="39">
        <v>1.0</v>
      </c>
      <c r="BD10" s="38">
        <v>2.0</v>
      </c>
      <c r="BE10" s="38">
        <v>2.0</v>
      </c>
      <c r="BF10" s="39">
        <v>2.0</v>
      </c>
      <c r="BG10" s="39">
        <v>1.0</v>
      </c>
      <c r="BH10" s="38">
        <v>0.0</v>
      </c>
      <c r="BI10" s="38">
        <v>2.0</v>
      </c>
      <c r="BJ10" s="39">
        <v>0.0</v>
      </c>
      <c r="BK10" s="39">
        <v>5.0</v>
      </c>
      <c r="BL10" s="38">
        <v>2.0</v>
      </c>
      <c r="BM10" s="38">
        <v>0.0</v>
      </c>
      <c r="BN10" s="39">
        <v>0.0</v>
      </c>
      <c r="BO10" s="39">
        <v>1.0</v>
      </c>
      <c r="BP10" s="38">
        <v>2.0</v>
      </c>
      <c r="BQ10" s="38">
        <v>1.0</v>
      </c>
      <c r="BR10" s="39">
        <v>3.0</v>
      </c>
      <c r="BS10" s="39">
        <v>0.0</v>
      </c>
      <c r="BT10" s="38">
        <v>1.0</v>
      </c>
      <c r="BU10" s="38">
        <v>0.0</v>
      </c>
      <c r="BV10" s="39">
        <v>1.0</v>
      </c>
      <c r="BW10" s="39">
        <v>3.0</v>
      </c>
      <c r="BX10" s="38">
        <v>4.0</v>
      </c>
      <c r="BY10" s="38">
        <v>1.0</v>
      </c>
      <c r="BZ10" s="39">
        <v>1.0</v>
      </c>
      <c r="CA10" s="39">
        <v>2.0</v>
      </c>
      <c r="CB10" s="38">
        <v>2.0</v>
      </c>
      <c r="CC10" s="38">
        <v>1.0</v>
      </c>
      <c r="CD10" s="39">
        <v>2.0</v>
      </c>
      <c r="CE10" s="39">
        <v>0.0</v>
      </c>
      <c r="CF10" s="38">
        <v>2.0</v>
      </c>
      <c r="CG10" s="38">
        <v>2.0</v>
      </c>
      <c r="CH10" s="39">
        <v>0.0</v>
      </c>
      <c r="CI10" s="39">
        <v>1.0</v>
      </c>
      <c r="CJ10" s="38">
        <v>2.0</v>
      </c>
      <c r="CK10" s="38">
        <v>1.0</v>
      </c>
      <c r="CL10" s="40">
        <v>4.0</v>
      </c>
      <c r="CM10" s="40">
        <v>1.0</v>
      </c>
      <c r="CN10" s="38">
        <v>1.0</v>
      </c>
      <c r="CO10" s="38">
        <v>1.0</v>
      </c>
      <c r="CP10" s="39">
        <v>1.0</v>
      </c>
      <c r="CQ10" s="39">
        <v>2.0</v>
      </c>
      <c r="CR10" s="38">
        <v>1.0</v>
      </c>
      <c r="CS10" s="38">
        <v>3.0</v>
      </c>
      <c r="CT10" s="39">
        <v>2.0</v>
      </c>
      <c r="CU10" s="39">
        <v>3.0</v>
      </c>
      <c r="CV10" s="25" t="s">
        <v>63</v>
      </c>
      <c r="CW10" s="10" t="s">
        <v>198</v>
      </c>
      <c r="CX10" s="10" t="s">
        <v>178</v>
      </c>
      <c r="CY10" s="10" t="s">
        <v>93</v>
      </c>
    </row>
    <row r="11">
      <c r="A11" s="9">
        <v>44884.517430555556</v>
      </c>
      <c r="B11" s="10" t="s">
        <v>119</v>
      </c>
      <c r="C11" s="10" t="s">
        <v>190</v>
      </c>
      <c r="D11" s="38">
        <v>1.0</v>
      </c>
      <c r="E11" s="38">
        <v>1.0</v>
      </c>
      <c r="F11" s="39">
        <v>0.0</v>
      </c>
      <c r="G11" s="39">
        <v>2.0</v>
      </c>
      <c r="H11" s="38">
        <v>0.0</v>
      </c>
      <c r="I11" s="38">
        <v>2.0</v>
      </c>
      <c r="J11" s="39">
        <v>3.0</v>
      </c>
      <c r="K11" s="39">
        <v>1.0</v>
      </c>
      <c r="L11" s="38">
        <v>2.0</v>
      </c>
      <c r="M11" s="38">
        <v>1.0</v>
      </c>
      <c r="N11" s="39">
        <v>2.0</v>
      </c>
      <c r="O11" s="39">
        <v>1.0</v>
      </c>
      <c r="P11" s="38">
        <v>3.0</v>
      </c>
      <c r="Q11" s="38">
        <v>0.0</v>
      </c>
      <c r="R11" s="39">
        <v>1.0</v>
      </c>
      <c r="S11" s="39">
        <v>1.0</v>
      </c>
      <c r="T11" s="38">
        <v>2.0</v>
      </c>
      <c r="U11" s="38">
        <v>1.0</v>
      </c>
      <c r="V11" s="39">
        <v>2.0</v>
      </c>
      <c r="W11" s="39">
        <v>0.0</v>
      </c>
      <c r="X11" s="38">
        <v>1.0</v>
      </c>
      <c r="Y11" s="38">
        <v>1.0</v>
      </c>
      <c r="Z11" s="39">
        <v>0.0</v>
      </c>
      <c r="AA11" s="39">
        <v>3.0</v>
      </c>
      <c r="AB11" s="38">
        <v>4.0</v>
      </c>
      <c r="AC11" s="38">
        <v>0.0</v>
      </c>
      <c r="AD11" s="39">
        <v>1.0</v>
      </c>
      <c r="AE11" s="39">
        <v>2.0</v>
      </c>
      <c r="AF11" s="38">
        <v>3.0</v>
      </c>
      <c r="AG11" s="38">
        <v>0.0</v>
      </c>
      <c r="AH11" s="39">
        <v>4.0</v>
      </c>
      <c r="AI11" s="39">
        <v>0.0</v>
      </c>
      <c r="AJ11" s="38">
        <v>1.0</v>
      </c>
      <c r="AK11" s="38">
        <v>2.0</v>
      </c>
      <c r="AL11" s="39">
        <v>0.0</v>
      </c>
      <c r="AM11" s="39">
        <v>2.0</v>
      </c>
      <c r="AN11" s="38">
        <v>2.0</v>
      </c>
      <c r="AO11" s="38">
        <v>0.0</v>
      </c>
      <c r="AP11" s="39">
        <v>1.0</v>
      </c>
      <c r="AQ11" s="39">
        <v>0.0</v>
      </c>
      <c r="AR11" s="38">
        <v>1.0</v>
      </c>
      <c r="AS11" s="38">
        <v>1.0</v>
      </c>
      <c r="AT11" s="39">
        <v>1.0</v>
      </c>
      <c r="AU11" s="39">
        <v>0.0</v>
      </c>
      <c r="AV11" s="38">
        <v>0.0</v>
      </c>
      <c r="AW11" s="38">
        <v>1.0</v>
      </c>
      <c r="AX11" s="39">
        <v>0.0</v>
      </c>
      <c r="AY11" s="39">
        <v>2.0</v>
      </c>
      <c r="AZ11" s="38">
        <v>3.0</v>
      </c>
      <c r="BA11" s="38">
        <v>0.0</v>
      </c>
      <c r="BB11" s="39">
        <v>2.0</v>
      </c>
      <c r="BC11" s="39">
        <v>0.0</v>
      </c>
      <c r="BD11" s="38">
        <v>0.0</v>
      </c>
      <c r="BE11" s="38">
        <v>1.0</v>
      </c>
      <c r="BF11" s="39">
        <v>2.0</v>
      </c>
      <c r="BG11" s="39">
        <v>0.0</v>
      </c>
      <c r="BH11" s="38">
        <v>0.0</v>
      </c>
      <c r="BI11" s="38">
        <v>3.0</v>
      </c>
      <c r="BJ11" s="39">
        <v>0.0</v>
      </c>
      <c r="BK11" s="39">
        <v>1.0</v>
      </c>
      <c r="BL11" s="38">
        <v>3.0</v>
      </c>
      <c r="BM11" s="38">
        <v>0.0</v>
      </c>
      <c r="BN11" s="39">
        <v>0.0</v>
      </c>
      <c r="BO11" s="39">
        <v>2.0</v>
      </c>
      <c r="BP11" s="38">
        <v>3.0</v>
      </c>
      <c r="BQ11" s="38">
        <v>1.0</v>
      </c>
      <c r="BR11" s="39">
        <v>3.0</v>
      </c>
      <c r="BS11" s="39">
        <v>0.0</v>
      </c>
      <c r="BT11" s="38">
        <v>0.0</v>
      </c>
      <c r="BU11" s="38">
        <v>1.0</v>
      </c>
      <c r="BV11" s="39">
        <v>0.0</v>
      </c>
      <c r="BW11" s="39">
        <v>2.0</v>
      </c>
      <c r="BX11" s="38">
        <v>2.0</v>
      </c>
      <c r="BY11" s="38">
        <v>0.0</v>
      </c>
      <c r="BZ11" s="39">
        <v>1.0</v>
      </c>
      <c r="CA11" s="39">
        <v>0.0</v>
      </c>
      <c r="CB11" s="38">
        <v>3.0</v>
      </c>
      <c r="CC11" s="38">
        <v>0.0</v>
      </c>
      <c r="CD11" s="39">
        <v>1.0</v>
      </c>
      <c r="CE11" s="39">
        <v>2.0</v>
      </c>
      <c r="CF11" s="38">
        <v>0.0</v>
      </c>
      <c r="CG11" s="38">
        <v>4.0</v>
      </c>
      <c r="CH11" s="39">
        <v>1.0</v>
      </c>
      <c r="CI11" s="39">
        <v>0.0</v>
      </c>
      <c r="CJ11" s="38">
        <v>4.0</v>
      </c>
      <c r="CK11" s="38">
        <v>0.0</v>
      </c>
      <c r="CL11" s="40">
        <v>3.0</v>
      </c>
      <c r="CM11" s="40">
        <v>1.0</v>
      </c>
      <c r="CN11" s="38">
        <v>2.0</v>
      </c>
      <c r="CO11" s="38">
        <v>1.0</v>
      </c>
      <c r="CP11" s="39">
        <v>0.0</v>
      </c>
      <c r="CQ11" s="39">
        <v>1.0</v>
      </c>
      <c r="CR11" s="38">
        <v>0.0</v>
      </c>
      <c r="CS11" s="38">
        <v>2.0</v>
      </c>
      <c r="CT11" s="39">
        <v>0.0</v>
      </c>
      <c r="CU11" s="39">
        <v>3.0</v>
      </c>
      <c r="CV11" s="25" t="s">
        <v>51</v>
      </c>
      <c r="CW11" s="10" t="s">
        <v>198</v>
      </c>
      <c r="CX11" s="10" t="s">
        <v>93</v>
      </c>
      <c r="CY11" s="10" t="s">
        <v>11</v>
      </c>
    </row>
    <row r="12">
      <c r="A12" s="9">
        <v>44884.517430555556</v>
      </c>
      <c r="B12" s="10" t="s">
        <v>21</v>
      </c>
      <c r="C12" s="10" t="s">
        <v>190</v>
      </c>
      <c r="D12" s="38">
        <v>2.0</v>
      </c>
      <c r="E12" s="38">
        <v>0.0</v>
      </c>
      <c r="F12" s="39">
        <v>2.0</v>
      </c>
      <c r="G12" s="39">
        <v>1.0</v>
      </c>
      <c r="H12" s="38">
        <v>1.0</v>
      </c>
      <c r="I12" s="38">
        <v>1.0</v>
      </c>
      <c r="J12" s="39">
        <v>3.0</v>
      </c>
      <c r="K12" s="39">
        <v>2.0</v>
      </c>
      <c r="L12" s="38">
        <v>1.0</v>
      </c>
      <c r="M12" s="38">
        <v>2.0</v>
      </c>
      <c r="N12" s="39">
        <v>2.0</v>
      </c>
      <c r="O12" s="39">
        <v>1.0</v>
      </c>
      <c r="P12" s="38">
        <v>0.0</v>
      </c>
      <c r="Q12" s="38">
        <v>1.0</v>
      </c>
      <c r="R12" s="39">
        <v>0.0</v>
      </c>
      <c r="S12" s="39">
        <v>1.0</v>
      </c>
      <c r="T12" s="38">
        <v>2.0</v>
      </c>
      <c r="U12" s="38">
        <v>0.0</v>
      </c>
      <c r="V12" s="39">
        <v>2.0</v>
      </c>
      <c r="W12" s="39">
        <v>1.0</v>
      </c>
      <c r="X12" s="38">
        <v>0.0</v>
      </c>
      <c r="Y12" s="38">
        <v>2.0</v>
      </c>
      <c r="Z12" s="39">
        <v>2.0</v>
      </c>
      <c r="AA12" s="39">
        <v>1.0</v>
      </c>
      <c r="AB12" s="38">
        <v>3.0</v>
      </c>
      <c r="AC12" s="38">
        <v>0.0</v>
      </c>
      <c r="AD12" s="39">
        <v>2.0</v>
      </c>
      <c r="AE12" s="39">
        <v>1.0</v>
      </c>
      <c r="AF12" s="38">
        <v>2.0</v>
      </c>
      <c r="AG12" s="38">
        <v>1.0</v>
      </c>
      <c r="AH12" s="39">
        <v>1.0</v>
      </c>
      <c r="AI12" s="39">
        <v>3.0</v>
      </c>
      <c r="AJ12" s="38">
        <v>2.0</v>
      </c>
      <c r="AK12" s="38">
        <v>2.0</v>
      </c>
      <c r="AL12" s="39">
        <v>1.0</v>
      </c>
      <c r="AM12" s="39">
        <v>3.0</v>
      </c>
      <c r="AN12" s="38">
        <v>2.0</v>
      </c>
      <c r="AO12" s="38">
        <v>1.0</v>
      </c>
      <c r="AP12" s="39">
        <v>3.0</v>
      </c>
      <c r="AQ12" s="39">
        <v>1.0</v>
      </c>
      <c r="AR12" s="38">
        <v>3.0</v>
      </c>
      <c r="AS12" s="38">
        <v>3.0</v>
      </c>
      <c r="AT12" s="39">
        <v>1.0</v>
      </c>
      <c r="AU12" s="39">
        <v>2.0</v>
      </c>
      <c r="AV12" s="38">
        <v>0.0</v>
      </c>
      <c r="AW12" s="38">
        <v>3.0</v>
      </c>
      <c r="AX12" s="39">
        <v>1.0</v>
      </c>
      <c r="AY12" s="39">
        <v>4.0</v>
      </c>
      <c r="AZ12" s="38">
        <v>2.0</v>
      </c>
      <c r="BA12" s="38">
        <v>3.0</v>
      </c>
      <c r="BB12" s="39">
        <v>3.0</v>
      </c>
      <c r="BC12" s="39">
        <v>0.0</v>
      </c>
      <c r="BD12" s="38">
        <v>0.0</v>
      </c>
      <c r="BE12" s="38">
        <v>2.0</v>
      </c>
      <c r="BF12" s="39">
        <v>1.0</v>
      </c>
      <c r="BG12" s="39">
        <v>0.0</v>
      </c>
      <c r="BH12" s="38">
        <v>0.0</v>
      </c>
      <c r="BI12" s="38">
        <v>0.0</v>
      </c>
      <c r="BJ12" s="39">
        <v>1.0</v>
      </c>
      <c r="BK12" s="39">
        <v>3.0</v>
      </c>
      <c r="BL12" s="38">
        <v>3.0</v>
      </c>
      <c r="BM12" s="38">
        <v>0.0</v>
      </c>
      <c r="BN12" s="39">
        <v>4.0</v>
      </c>
      <c r="BO12" s="39">
        <v>1.0</v>
      </c>
      <c r="BP12" s="38">
        <v>2.0</v>
      </c>
      <c r="BQ12" s="38">
        <v>1.0</v>
      </c>
      <c r="BR12" s="39">
        <v>0.0</v>
      </c>
      <c r="BS12" s="39">
        <v>1.0</v>
      </c>
      <c r="BT12" s="38">
        <v>1.0</v>
      </c>
      <c r="BU12" s="38">
        <v>2.0</v>
      </c>
      <c r="BV12" s="39">
        <v>2.0</v>
      </c>
      <c r="BW12" s="39">
        <v>2.0</v>
      </c>
      <c r="BX12" s="38">
        <v>4.0</v>
      </c>
      <c r="BY12" s="38">
        <v>2.0</v>
      </c>
      <c r="BZ12" s="39">
        <v>2.0</v>
      </c>
      <c r="CA12" s="39">
        <v>0.0</v>
      </c>
      <c r="CB12" s="38">
        <v>2.0</v>
      </c>
      <c r="CC12" s="38">
        <v>0.0</v>
      </c>
      <c r="CD12" s="39">
        <v>0.0</v>
      </c>
      <c r="CE12" s="39">
        <v>0.0</v>
      </c>
      <c r="CF12" s="38">
        <v>2.0</v>
      </c>
      <c r="CG12" s="38">
        <v>2.0</v>
      </c>
      <c r="CH12" s="39">
        <v>1.0</v>
      </c>
      <c r="CI12" s="39">
        <v>2.0</v>
      </c>
      <c r="CJ12" s="38">
        <v>3.0</v>
      </c>
      <c r="CK12" s="38">
        <v>1.0</v>
      </c>
      <c r="CL12" s="40">
        <v>3.0</v>
      </c>
      <c r="CM12" s="40">
        <v>0.0</v>
      </c>
      <c r="CN12" s="38">
        <v>1.0</v>
      </c>
      <c r="CO12" s="38">
        <v>1.0</v>
      </c>
      <c r="CP12" s="39">
        <v>1.0</v>
      </c>
      <c r="CQ12" s="39">
        <v>2.0</v>
      </c>
      <c r="CR12" s="38">
        <v>2.0</v>
      </c>
      <c r="CS12" s="38">
        <v>3.0</v>
      </c>
      <c r="CT12" s="39">
        <v>1.0</v>
      </c>
      <c r="CU12" s="39">
        <v>2.0</v>
      </c>
      <c r="CV12" s="25" t="s">
        <v>29</v>
      </c>
      <c r="CW12" s="10" t="s">
        <v>192</v>
      </c>
      <c r="CX12" s="10" t="s">
        <v>178</v>
      </c>
      <c r="CY12" s="10" t="s">
        <v>93</v>
      </c>
    </row>
    <row r="13">
      <c r="A13" s="9">
        <v>44884.517430555556</v>
      </c>
      <c r="B13" s="10" t="s">
        <v>15</v>
      </c>
      <c r="C13" s="10" t="s">
        <v>190</v>
      </c>
      <c r="D13" s="38">
        <v>1.0</v>
      </c>
      <c r="E13" s="38">
        <v>2.0</v>
      </c>
      <c r="F13" s="39">
        <v>2.0</v>
      </c>
      <c r="G13" s="39">
        <v>2.0</v>
      </c>
      <c r="H13" s="38">
        <v>0.0</v>
      </c>
      <c r="I13" s="38">
        <v>2.0</v>
      </c>
      <c r="J13" s="39">
        <v>2.0</v>
      </c>
      <c r="K13" s="39">
        <v>1.0</v>
      </c>
      <c r="L13" s="38">
        <v>2.0</v>
      </c>
      <c r="M13" s="38">
        <v>0.0</v>
      </c>
      <c r="N13" s="39">
        <v>2.0</v>
      </c>
      <c r="O13" s="39">
        <v>2.0</v>
      </c>
      <c r="P13" s="38">
        <v>2.0</v>
      </c>
      <c r="Q13" s="38">
        <v>0.0</v>
      </c>
      <c r="R13" s="39">
        <v>0.0</v>
      </c>
      <c r="S13" s="39">
        <v>1.0</v>
      </c>
      <c r="T13" s="38">
        <v>2.0</v>
      </c>
      <c r="U13" s="38">
        <v>1.0</v>
      </c>
      <c r="V13" s="39">
        <v>1.0</v>
      </c>
      <c r="W13" s="39">
        <v>0.0</v>
      </c>
      <c r="X13" s="38">
        <v>2.0</v>
      </c>
      <c r="Y13" s="38">
        <v>2.0</v>
      </c>
      <c r="Z13" s="39">
        <v>0.0</v>
      </c>
      <c r="AA13" s="39">
        <v>2.0</v>
      </c>
      <c r="AB13" s="38">
        <v>2.0</v>
      </c>
      <c r="AC13" s="38">
        <v>0.0</v>
      </c>
      <c r="AD13" s="39">
        <v>0.0</v>
      </c>
      <c r="AE13" s="39">
        <v>2.0</v>
      </c>
      <c r="AF13" s="38">
        <v>3.0</v>
      </c>
      <c r="AG13" s="38">
        <v>1.0</v>
      </c>
      <c r="AH13" s="39">
        <v>2.0</v>
      </c>
      <c r="AI13" s="39">
        <v>0.0</v>
      </c>
      <c r="AJ13" s="38">
        <v>2.0</v>
      </c>
      <c r="AK13" s="38">
        <v>2.0</v>
      </c>
      <c r="AL13" s="39">
        <v>1.0</v>
      </c>
      <c r="AM13" s="39">
        <v>2.0</v>
      </c>
      <c r="AN13" s="38">
        <v>3.0</v>
      </c>
      <c r="AO13" s="38">
        <v>1.0</v>
      </c>
      <c r="AP13" s="39">
        <v>2.0</v>
      </c>
      <c r="AQ13" s="39">
        <v>0.0</v>
      </c>
      <c r="AR13" s="38">
        <v>1.0</v>
      </c>
      <c r="AS13" s="38">
        <v>1.0</v>
      </c>
      <c r="AT13" s="39">
        <v>2.0</v>
      </c>
      <c r="AU13" s="39">
        <v>1.0</v>
      </c>
      <c r="AV13" s="38">
        <v>1.0</v>
      </c>
      <c r="AW13" s="38">
        <v>2.0</v>
      </c>
      <c r="AX13" s="39">
        <v>1.0</v>
      </c>
      <c r="AY13" s="39">
        <v>2.0</v>
      </c>
      <c r="AZ13" s="38">
        <v>3.0</v>
      </c>
      <c r="BA13" s="38">
        <v>0.0</v>
      </c>
      <c r="BB13" s="39">
        <v>3.0</v>
      </c>
      <c r="BC13" s="39">
        <v>0.0</v>
      </c>
      <c r="BD13" s="38">
        <v>1.0</v>
      </c>
      <c r="BE13" s="38">
        <v>2.0</v>
      </c>
      <c r="BF13" s="39">
        <v>2.0</v>
      </c>
      <c r="BG13" s="39">
        <v>2.0</v>
      </c>
      <c r="BH13" s="38">
        <v>1.0</v>
      </c>
      <c r="BI13" s="38">
        <v>2.0</v>
      </c>
      <c r="BJ13" s="39">
        <v>0.0</v>
      </c>
      <c r="BK13" s="39">
        <v>2.0</v>
      </c>
      <c r="BL13" s="38">
        <v>3.0</v>
      </c>
      <c r="BM13" s="38">
        <v>1.0</v>
      </c>
      <c r="BN13" s="39">
        <v>0.0</v>
      </c>
      <c r="BO13" s="39">
        <v>2.0</v>
      </c>
      <c r="BP13" s="38">
        <v>2.0</v>
      </c>
      <c r="BQ13" s="38">
        <v>0.0</v>
      </c>
      <c r="BR13" s="39">
        <v>2.0</v>
      </c>
      <c r="BS13" s="39">
        <v>0.0</v>
      </c>
      <c r="BT13" s="38">
        <v>1.0</v>
      </c>
      <c r="BU13" s="38">
        <v>2.0</v>
      </c>
      <c r="BV13" s="39">
        <v>1.0</v>
      </c>
      <c r="BW13" s="39">
        <v>0.0</v>
      </c>
      <c r="BX13" s="38">
        <v>2.0</v>
      </c>
      <c r="BY13" s="38">
        <v>1.0</v>
      </c>
      <c r="BZ13" s="39">
        <v>2.0</v>
      </c>
      <c r="CA13" s="39">
        <v>2.0</v>
      </c>
      <c r="CB13" s="38">
        <v>3.0</v>
      </c>
      <c r="CC13" s="38">
        <v>1.0</v>
      </c>
      <c r="CD13" s="39">
        <v>2.0</v>
      </c>
      <c r="CE13" s="39">
        <v>2.0</v>
      </c>
      <c r="CF13" s="38">
        <v>0.0</v>
      </c>
      <c r="CG13" s="38">
        <v>2.0</v>
      </c>
      <c r="CH13" s="39">
        <v>1.0</v>
      </c>
      <c r="CI13" s="39">
        <v>2.0</v>
      </c>
      <c r="CJ13" s="38">
        <v>2.0</v>
      </c>
      <c r="CK13" s="38">
        <v>2.0</v>
      </c>
      <c r="CL13" s="40">
        <v>2.0</v>
      </c>
      <c r="CM13" s="40">
        <v>0.0</v>
      </c>
      <c r="CN13" s="38">
        <v>1.0</v>
      </c>
      <c r="CO13" s="38">
        <v>2.0</v>
      </c>
      <c r="CP13" s="39">
        <v>1.0</v>
      </c>
      <c r="CQ13" s="39">
        <v>2.0</v>
      </c>
      <c r="CR13" s="38">
        <v>0.0</v>
      </c>
      <c r="CS13" s="38">
        <v>3.0</v>
      </c>
      <c r="CT13" s="39">
        <v>1.0</v>
      </c>
      <c r="CU13" s="39">
        <v>1.0</v>
      </c>
      <c r="CV13" s="25" t="s">
        <v>73</v>
      </c>
      <c r="CW13" s="10" t="s">
        <v>192</v>
      </c>
      <c r="CX13" s="10" t="s">
        <v>96</v>
      </c>
      <c r="CY13" s="10" t="s">
        <v>93</v>
      </c>
    </row>
    <row r="14">
      <c r="A14" s="9">
        <v>44884.517430555556</v>
      </c>
      <c r="B14" s="10" t="s">
        <v>119</v>
      </c>
      <c r="C14" s="10" t="s">
        <v>190</v>
      </c>
      <c r="D14" s="38">
        <v>1.0</v>
      </c>
      <c r="E14" s="38">
        <v>1.0</v>
      </c>
      <c r="F14" s="39">
        <v>0.0</v>
      </c>
      <c r="G14" s="39">
        <v>2.0</v>
      </c>
      <c r="H14" s="38">
        <v>1.0</v>
      </c>
      <c r="I14" s="38">
        <v>1.0</v>
      </c>
      <c r="J14" s="39">
        <v>1.0</v>
      </c>
      <c r="K14" s="39">
        <v>2.0</v>
      </c>
      <c r="L14" s="38">
        <v>2.0</v>
      </c>
      <c r="M14" s="38">
        <v>0.0</v>
      </c>
      <c r="N14" s="39">
        <v>2.0</v>
      </c>
      <c r="O14" s="39">
        <v>1.0</v>
      </c>
      <c r="P14" s="38">
        <v>2.0</v>
      </c>
      <c r="Q14" s="38">
        <v>0.0</v>
      </c>
      <c r="R14" s="39">
        <v>2.0</v>
      </c>
      <c r="S14" s="39">
        <v>0.0</v>
      </c>
      <c r="T14" s="38">
        <v>2.0</v>
      </c>
      <c r="U14" s="38">
        <v>1.0</v>
      </c>
      <c r="V14" s="39">
        <v>0.0</v>
      </c>
      <c r="W14" s="39">
        <v>0.0</v>
      </c>
      <c r="X14" s="38">
        <v>1.0</v>
      </c>
      <c r="Y14" s="38">
        <v>3.0</v>
      </c>
      <c r="Z14" s="39">
        <v>0.0</v>
      </c>
      <c r="AA14" s="39">
        <v>3.0</v>
      </c>
      <c r="AB14" s="38">
        <v>3.0</v>
      </c>
      <c r="AC14" s="38">
        <v>0.0</v>
      </c>
      <c r="AD14" s="39">
        <v>2.0</v>
      </c>
      <c r="AE14" s="39">
        <v>1.0</v>
      </c>
      <c r="AF14" s="38">
        <v>1.0</v>
      </c>
      <c r="AG14" s="38">
        <v>0.0</v>
      </c>
      <c r="AH14" s="39">
        <v>0.0</v>
      </c>
      <c r="AI14" s="39">
        <v>1.0</v>
      </c>
      <c r="AJ14" s="38">
        <v>0.0</v>
      </c>
      <c r="AK14" s="38">
        <v>3.0</v>
      </c>
      <c r="AL14" s="39">
        <v>0.0</v>
      </c>
      <c r="AM14" s="39">
        <v>2.0</v>
      </c>
      <c r="AN14" s="38">
        <v>1.0</v>
      </c>
      <c r="AO14" s="38">
        <v>0.0</v>
      </c>
      <c r="AP14" s="39">
        <v>3.0</v>
      </c>
      <c r="AQ14" s="39">
        <v>0.0</v>
      </c>
      <c r="AR14" s="38">
        <v>1.0</v>
      </c>
      <c r="AS14" s="38">
        <v>2.0</v>
      </c>
      <c r="AT14" s="39">
        <v>1.0</v>
      </c>
      <c r="AU14" s="39">
        <v>1.0</v>
      </c>
      <c r="AV14" s="38">
        <v>0.0</v>
      </c>
      <c r="AW14" s="38">
        <v>2.0</v>
      </c>
      <c r="AX14" s="39">
        <v>0.0</v>
      </c>
      <c r="AY14" s="39">
        <v>2.0</v>
      </c>
      <c r="AZ14" s="38">
        <v>2.0</v>
      </c>
      <c r="BA14" s="38">
        <v>2.0</v>
      </c>
      <c r="BB14" s="39">
        <v>2.0</v>
      </c>
      <c r="BC14" s="39">
        <v>1.0</v>
      </c>
      <c r="BD14" s="38">
        <v>2.0</v>
      </c>
      <c r="BE14" s="38">
        <v>2.0</v>
      </c>
      <c r="BF14" s="39">
        <v>0.0</v>
      </c>
      <c r="BG14" s="39">
        <v>1.0</v>
      </c>
      <c r="BH14" s="38">
        <v>2.0</v>
      </c>
      <c r="BI14" s="38">
        <v>3.0</v>
      </c>
      <c r="BJ14" s="39">
        <v>0.0</v>
      </c>
      <c r="BK14" s="39">
        <v>3.0</v>
      </c>
      <c r="BL14" s="38">
        <v>1.0</v>
      </c>
      <c r="BM14" s="38">
        <v>0.0</v>
      </c>
      <c r="BN14" s="39">
        <v>0.0</v>
      </c>
      <c r="BO14" s="39">
        <v>1.0</v>
      </c>
      <c r="BP14" s="38">
        <v>1.0</v>
      </c>
      <c r="BQ14" s="38">
        <v>0.0</v>
      </c>
      <c r="BR14" s="39">
        <v>2.0</v>
      </c>
      <c r="BS14" s="39">
        <v>1.0</v>
      </c>
      <c r="BT14" s="38">
        <v>1.0</v>
      </c>
      <c r="BU14" s="38">
        <v>1.0</v>
      </c>
      <c r="BV14" s="39">
        <v>1.0</v>
      </c>
      <c r="BW14" s="39">
        <v>1.0</v>
      </c>
      <c r="BX14" s="38">
        <v>1.0</v>
      </c>
      <c r="BY14" s="38">
        <v>0.0</v>
      </c>
      <c r="BZ14" s="39">
        <v>2.0</v>
      </c>
      <c r="CA14" s="39">
        <v>1.0</v>
      </c>
      <c r="CB14" s="38">
        <v>2.0</v>
      </c>
      <c r="CC14" s="38">
        <v>1.0</v>
      </c>
      <c r="CD14" s="39">
        <v>0.0</v>
      </c>
      <c r="CE14" s="39">
        <v>2.0</v>
      </c>
      <c r="CF14" s="38">
        <v>0.0</v>
      </c>
      <c r="CG14" s="38">
        <v>3.0</v>
      </c>
      <c r="CH14" s="39">
        <v>0.0</v>
      </c>
      <c r="CI14" s="39">
        <v>1.0</v>
      </c>
      <c r="CJ14" s="38">
        <v>3.0</v>
      </c>
      <c r="CK14" s="38">
        <v>1.0</v>
      </c>
      <c r="CL14" s="40">
        <v>2.0</v>
      </c>
      <c r="CM14" s="40">
        <v>1.0</v>
      </c>
      <c r="CN14" s="38">
        <v>2.0</v>
      </c>
      <c r="CO14" s="38">
        <v>2.0</v>
      </c>
      <c r="CP14" s="39">
        <v>1.0</v>
      </c>
      <c r="CQ14" s="39">
        <v>0.0</v>
      </c>
      <c r="CR14" s="38">
        <v>1.0</v>
      </c>
      <c r="CS14" s="38">
        <v>2.0</v>
      </c>
      <c r="CT14" s="39">
        <v>0.0</v>
      </c>
      <c r="CU14" s="39">
        <v>2.0</v>
      </c>
      <c r="CV14" s="27" t="s">
        <v>52</v>
      </c>
      <c r="CW14" s="10" t="s">
        <v>193</v>
      </c>
      <c r="CX14" s="10" t="s">
        <v>93</v>
      </c>
      <c r="CY14" s="10" t="s">
        <v>11</v>
      </c>
    </row>
    <row r="15">
      <c r="A15" s="9">
        <v>44884.517430555556</v>
      </c>
      <c r="B15" s="10" t="s">
        <v>118</v>
      </c>
      <c r="C15" s="10" t="s">
        <v>190</v>
      </c>
      <c r="D15" s="38">
        <v>2.0</v>
      </c>
      <c r="E15" s="38">
        <v>1.0</v>
      </c>
      <c r="F15" s="39">
        <v>1.0</v>
      </c>
      <c r="G15" s="39">
        <v>1.0</v>
      </c>
      <c r="H15" s="38">
        <v>0.0</v>
      </c>
      <c r="I15" s="38">
        <v>3.0</v>
      </c>
      <c r="J15" s="39">
        <v>2.0</v>
      </c>
      <c r="K15" s="39">
        <v>1.0</v>
      </c>
      <c r="L15" s="38">
        <v>3.0</v>
      </c>
      <c r="M15" s="38">
        <v>0.0</v>
      </c>
      <c r="N15" s="39">
        <v>1.0</v>
      </c>
      <c r="O15" s="39">
        <v>2.0</v>
      </c>
      <c r="P15" s="38">
        <v>3.0</v>
      </c>
      <c r="Q15" s="38">
        <v>1.0</v>
      </c>
      <c r="R15" s="39">
        <v>2.0</v>
      </c>
      <c r="S15" s="39">
        <v>0.0</v>
      </c>
      <c r="T15" s="38">
        <v>3.0</v>
      </c>
      <c r="U15" s="38">
        <v>1.0</v>
      </c>
      <c r="V15" s="39">
        <v>1.0</v>
      </c>
      <c r="W15" s="39">
        <v>1.0</v>
      </c>
      <c r="X15" s="38">
        <v>1.0</v>
      </c>
      <c r="Y15" s="38">
        <v>2.0</v>
      </c>
      <c r="Z15" s="39">
        <v>0.0</v>
      </c>
      <c r="AA15" s="39">
        <v>1.0</v>
      </c>
      <c r="AB15" s="38">
        <v>4.0</v>
      </c>
      <c r="AC15" s="38">
        <v>0.0</v>
      </c>
      <c r="AD15" s="39">
        <v>1.0</v>
      </c>
      <c r="AE15" s="39">
        <v>2.0</v>
      </c>
      <c r="AF15" s="38">
        <v>2.0</v>
      </c>
      <c r="AG15" s="38">
        <v>1.0</v>
      </c>
      <c r="AH15" s="39">
        <v>2.0</v>
      </c>
      <c r="AI15" s="39">
        <v>0.0</v>
      </c>
      <c r="AJ15" s="38">
        <v>1.0</v>
      </c>
      <c r="AK15" s="38">
        <v>1.0</v>
      </c>
      <c r="AL15" s="39">
        <v>0.0</v>
      </c>
      <c r="AM15" s="39">
        <v>2.0</v>
      </c>
      <c r="AN15" s="38">
        <v>3.0</v>
      </c>
      <c r="AO15" s="38">
        <v>0.0</v>
      </c>
      <c r="AP15" s="39">
        <v>2.0</v>
      </c>
      <c r="AQ15" s="39">
        <v>1.0</v>
      </c>
      <c r="AR15" s="38">
        <v>1.0</v>
      </c>
      <c r="AS15" s="38">
        <v>2.0</v>
      </c>
      <c r="AT15" s="39">
        <v>1.0</v>
      </c>
      <c r="AU15" s="39">
        <v>1.0</v>
      </c>
      <c r="AV15" s="38">
        <v>0.0</v>
      </c>
      <c r="AW15" s="38">
        <v>3.0</v>
      </c>
      <c r="AX15" s="39">
        <v>0.0</v>
      </c>
      <c r="AY15" s="39">
        <v>2.0</v>
      </c>
      <c r="AZ15" s="38">
        <v>3.0</v>
      </c>
      <c r="BA15" s="38">
        <v>0.0</v>
      </c>
      <c r="BB15" s="39">
        <v>1.0</v>
      </c>
      <c r="BC15" s="39">
        <v>1.0</v>
      </c>
      <c r="BD15" s="38">
        <v>2.0</v>
      </c>
      <c r="BE15" s="38">
        <v>2.0</v>
      </c>
      <c r="BF15" s="39">
        <v>2.0</v>
      </c>
      <c r="BG15" s="39">
        <v>0.0</v>
      </c>
      <c r="BH15" s="38">
        <v>2.0</v>
      </c>
      <c r="BI15" s="38">
        <v>2.0</v>
      </c>
      <c r="BJ15" s="39">
        <v>0.0</v>
      </c>
      <c r="BK15" s="39">
        <v>3.0</v>
      </c>
      <c r="BL15" s="38">
        <v>2.0</v>
      </c>
      <c r="BM15" s="38">
        <v>0.0</v>
      </c>
      <c r="BN15" s="39">
        <v>0.0</v>
      </c>
      <c r="BO15" s="39">
        <v>2.0</v>
      </c>
      <c r="BP15" s="38">
        <v>2.0</v>
      </c>
      <c r="BQ15" s="38">
        <v>1.0</v>
      </c>
      <c r="BR15" s="39">
        <v>2.0</v>
      </c>
      <c r="BS15" s="39">
        <v>0.0</v>
      </c>
      <c r="BT15" s="38">
        <v>2.0</v>
      </c>
      <c r="BU15" s="38">
        <v>2.0</v>
      </c>
      <c r="BV15" s="39">
        <v>1.0</v>
      </c>
      <c r="BW15" s="39">
        <v>0.0</v>
      </c>
      <c r="BX15" s="38">
        <v>3.0</v>
      </c>
      <c r="BY15" s="38">
        <v>1.0</v>
      </c>
      <c r="BZ15" s="39">
        <v>1.0</v>
      </c>
      <c r="CA15" s="39">
        <v>1.0</v>
      </c>
      <c r="CB15" s="38">
        <v>3.0</v>
      </c>
      <c r="CC15" s="38">
        <v>0.0</v>
      </c>
      <c r="CD15" s="39">
        <v>0.0</v>
      </c>
      <c r="CE15" s="39">
        <v>2.0</v>
      </c>
      <c r="CF15" s="38">
        <v>0.0</v>
      </c>
      <c r="CG15" s="38">
        <v>4.0</v>
      </c>
      <c r="CH15" s="39">
        <v>1.0</v>
      </c>
      <c r="CI15" s="39">
        <v>0.0</v>
      </c>
      <c r="CJ15" s="38">
        <v>2.0</v>
      </c>
      <c r="CK15" s="38">
        <v>1.0</v>
      </c>
      <c r="CL15" s="40">
        <v>1.0</v>
      </c>
      <c r="CM15" s="40">
        <v>1.0</v>
      </c>
      <c r="CN15" s="38">
        <v>0.0</v>
      </c>
      <c r="CO15" s="38">
        <v>2.0</v>
      </c>
      <c r="CP15" s="39">
        <v>2.0</v>
      </c>
      <c r="CQ15" s="39">
        <v>0.0</v>
      </c>
      <c r="CR15" s="38">
        <v>1.0</v>
      </c>
      <c r="CS15" s="38">
        <v>1.0</v>
      </c>
      <c r="CT15" s="39">
        <v>1.0</v>
      </c>
      <c r="CU15" s="39">
        <v>2.0</v>
      </c>
      <c r="CV15" s="25" t="s">
        <v>82</v>
      </c>
      <c r="CW15" s="10" t="s">
        <v>196</v>
      </c>
      <c r="CX15" s="10" t="s">
        <v>93</v>
      </c>
      <c r="CY15" s="10" t="s">
        <v>93</v>
      </c>
    </row>
    <row r="16">
      <c r="A16" s="9">
        <v>44884.517430555556</v>
      </c>
      <c r="B16" s="10" t="s">
        <v>57</v>
      </c>
      <c r="C16" s="10" t="s">
        <v>190</v>
      </c>
      <c r="D16" s="38">
        <v>0.0</v>
      </c>
      <c r="E16" s="38">
        <v>2.0</v>
      </c>
      <c r="F16" s="39">
        <v>0.0</v>
      </c>
      <c r="G16" s="39">
        <v>1.0</v>
      </c>
      <c r="H16" s="38">
        <v>1.0</v>
      </c>
      <c r="I16" s="38">
        <v>2.0</v>
      </c>
      <c r="J16" s="39">
        <v>1.0</v>
      </c>
      <c r="K16" s="39">
        <v>1.0</v>
      </c>
      <c r="L16" s="38">
        <v>3.0</v>
      </c>
      <c r="M16" s="38">
        <v>0.0</v>
      </c>
      <c r="N16" s="39">
        <v>2.0</v>
      </c>
      <c r="O16" s="39">
        <v>2.0</v>
      </c>
      <c r="P16" s="38">
        <v>1.0</v>
      </c>
      <c r="Q16" s="38">
        <v>1.0</v>
      </c>
      <c r="R16" s="39">
        <v>2.0</v>
      </c>
      <c r="S16" s="39">
        <v>1.0</v>
      </c>
      <c r="T16" s="38">
        <v>1.0</v>
      </c>
      <c r="U16" s="38">
        <v>0.0</v>
      </c>
      <c r="V16" s="39">
        <v>0.0</v>
      </c>
      <c r="W16" s="39">
        <v>1.0</v>
      </c>
      <c r="X16" s="38">
        <v>1.0</v>
      </c>
      <c r="Y16" s="38">
        <v>2.0</v>
      </c>
      <c r="Z16" s="39">
        <v>1.0</v>
      </c>
      <c r="AA16" s="39">
        <v>1.0</v>
      </c>
      <c r="AB16" s="38">
        <v>3.0</v>
      </c>
      <c r="AC16" s="38">
        <v>0.0</v>
      </c>
      <c r="AD16" s="39">
        <v>1.0</v>
      </c>
      <c r="AE16" s="39">
        <v>2.0</v>
      </c>
      <c r="AF16" s="38">
        <v>2.0</v>
      </c>
      <c r="AG16" s="38">
        <v>0.0</v>
      </c>
      <c r="AH16" s="39">
        <v>2.0</v>
      </c>
      <c r="AI16" s="39">
        <v>0.0</v>
      </c>
      <c r="AJ16" s="38">
        <v>0.0</v>
      </c>
      <c r="AK16" s="38">
        <v>1.0</v>
      </c>
      <c r="AL16" s="39">
        <v>1.0</v>
      </c>
      <c r="AM16" s="39">
        <v>3.0</v>
      </c>
      <c r="AN16" s="38">
        <v>2.0</v>
      </c>
      <c r="AO16" s="38">
        <v>0.0</v>
      </c>
      <c r="AP16" s="39">
        <v>1.0</v>
      </c>
      <c r="AQ16" s="39">
        <v>0.0</v>
      </c>
      <c r="AR16" s="38">
        <v>1.0</v>
      </c>
      <c r="AS16" s="38">
        <v>2.0</v>
      </c>
      <c r="AT16" s="39">
        <v>0.0</v>
      </c>
      <c r="AU16" s="39">
        <v>0.0</v>
      </c>
      <c r="AV16" s="38">
        <v>0.0</v>
      </c>
      <c r="AW16" s="38">
        <v>4.0</v>
      </c>
      <c r="AX16" s="39">
        <v>0.0</v>
      </c>
      <c r="AY16" s="39">
        <v>1.0</v>
      </c>
      <c r="AZ16" s="38">
        <v>1.0</v>
      </c>
      <c r="BA16" s="38">
        <v>0.0</v>
      </c>
      <c r="BB16" s="39">
        <v>3.0</v>
      </c>
      <c r="BC16" s="39">
        <v>1.0</v>
      </c>
      <c r="BD16" s="38">
        <v>0.0</v>
      </c>
      <c r="BE16" s="38">
        <v>2.0</v>
      </c>
      <c r="BF16" s="39">
        <v>1.0</v>
      </c>
      <c r="BG16" s="39">
        <v>0.0</v>
      </c>
      <c r="BH16" s="38">
        <v>0.0</v>
      </c>
      <c r="BI16" s="38">
        <v>2.0</v>
      </c>
      <c r="BJ16" s="39">
        <v>1.0</v>
      </c>
      <c r="BK16" s="39">
        <v>3.0</v>
      </c>
      <c r="BL16" s="38">
        <v>1.0</v>
      </c>
      <c r="BM16" s="38">
        <v>1.0</v>
      </c>
      <c r="BN16" s="39">
        <v>1.0</v>
      </c>
      <c r="BO16" s="39">
        <v>0.0</v>
      </c>
      <c r="BP16" s="38">
        <v>2.0</v>
      </c>
      <c r="BQ16" s="38">
        <v>1.0</v>
      </c>
      <c r="BR16" s="39">
        <v>2.0</v>
      </c>
      <c r="BS16" s="39">
        <v>0.0</v>
      </c>
      <c r="BT16" s="38">
        <v>2.0</v>
      </c>
      <c r="BU16" s="38">
        <v>2.0</v>
      </c>
      <c r="BV16" s="39">
        <v>0.0</v>
      </c>
      <c r="BW16" s="39">
        <v>1.0</v>
      </c>
      <c r="BX16" s="38">
        <v>3.0</v>
      </c>
      <c r="BY16" s="38">
        <v>0.0</v>
      </c>
      <c r="BZ16" s="39">
        <v>0.0</v>
      </c>
      <c r="CA16" s="39">
        <v>1.0</v>
      </c>
      <c r="CB16" s="38">
        <v>2.0</v>
      </c>
      <c r="CC16" s="38">
        <v>1.0</v>
      </c>
      <c r="CD16" s="39">
        <v>1.0</v>
      </c>
      <c r="CE16" s="39">
        <v>1.0</v>
      </c>
      <c r="CF16" s="38">
        <v>0.0</v>
      </c>
      <c r="CG16" s="38">
        <v>4.0</v>
      </c>
      <c r="CH16" s="39">
        <v>0.0</v>
      </c>
      <c r="CI16" s="39">
        <v>1.0</v>
      </c>
      <c r="CJ16" s="38">
        <v>2.0</v>
      </c>
      <c r="CK16" s="38">
        <v>1.0</v>
      </c>
      <c r="CL16" s="40">
        <v>1.0</v>
      </c>
      <c r="CM16" s="40">
        <v>0.0</v>
      </c>
      <c r="CN16" s="38">
        <v>0.0</v>
      </c>
      <c r="CO16" s="38">
        <v>1.0</v>
      </c>
      <c r="CP16" s="39">
        <v>2.0</v>
      </c>
      <c r="CQ16" s="39">
        <v>0.0</v>
      </c>
      <c r="CR16" s="38">
        <v>1.0</v>
      </c>
      <c r="CS16" s="38">
        <v>3.0</v>
      </c>
      <c r="CT16" s="39">
        <v>0.0</v>
      </c>
      <c r="CU16" s="39">
        <v>2.0</v>
      </c>
      <c r="CV16" s="25" t="s">
        <v>58</v>
      </c>
      <c r="CW16" s="10" t="s">
        <v>199</v>
      </c>
      <c r="CX16" s="10" t="s">
        <v>93</v>
      </c>
      <c r="CY16" s="10" t="s">
        <v>93</v>
      </c>
    </row>
    <row r="17">
      <c r="A17" s="9">
        <v>44884.517430555556</v>
      </c>
      <c r="B17" s="10" t="s">
        <v>76</v>
      </c>
      <c r="C17" s="10" t="s">
        <v>190</v>
      </c>
      <c r="D17" s="38">
        <v>1.0</v>
      </c>
      <c r="E17" s="38">
        <v>1.0</v>
      </c>
      <c r="F17" s="39">
        <v>2.0</v>
      </c>
      <c r="G17" s="39">
        <v>1.0</v>
      </c>
      <c r="H17" s="38">
        <v>0.0</v>
      </c>
      <c r="I17" s="38">
        <v>2.0</v>
      </c>
      <c r="J17" s="39">
        <v>1.0</v>
      </c>
      <c r="K17" s="39">
        <v>2.0</v>
      </c>
      <c r="L17" s="38">
        <v>3.0</v>
      </c>
      <c r="M17" s="38">
        <v>0.0</v>
      </c>
      <c r="N17" s="39">
        <v>2.0</v>
      </c>
      <c r="O17" s="39">
        <v>2.0</v>
      </c>
      <c r="P17" s="38">
        <v>3.0</v>
      </c>
      <c r="Q17" s="38">
        <v>0.0</v>
      </c>
      <c r="R17" s="39">
        <v>2.0</v>
      </c>
      <c r="S17" s="39">
        <v>1.0</v>
      </c>
      <c r="T17" s="38">
        <v>2.0</v>
      </c>
      <c r="U17" s="38">
        <v>0.0</v>
      </c>
      <c r="V17" s="39">
        <v>0.0</v>
      </c>
      <c r="W17" s="39">
        <v>0.0</v>
      </c>
      <c r="X17" s="38">
        <v>1.0</v>
      </c>
      <c r="Y17" s="38">
        <v>3.0</v>
      </c>
      <c r="Z17" s="39">
        <v>0.0</v>
      </c>
      <c r="AA17" s="39">
        <v>2.0</v>
      </c>
      <c r="AB17" s="38">
        <v>4.0</v>
      </c>
      <c r="AC17" s="38">
        <v>1.0</v>
      </c>
      <c r="AD17" s="39">
        <v>1.0</v>
      </c>
      <c r="AE17" s="39">
        <v>3.0</v>
      </c>
      <c r="AF17" s="38">
        <v>3.0</v>
      </c>
      <c r="AG17" s="38">
        <v>0.0</v>
      </c>
      <c r="AH17" s="39">
        <v>2.0</v>
      </c>
      <c r="AI17" s="39">
        <v>0.0</v>
      </c>
      <c r="AJ17" s="38">
        <v>1.0</v>
      </c>
      <c r="AK17" s="38">
        <v>1.0</v>
      </c>
      <c r="AL17" s="39">
        <v>1.0</v>
      </c>
      <c r="AM17" s="39">
        <v>2.0</v>
      </c>
      <c r="AN17" s="38">
        <v>2.0</v>
      </c>
      <c r="AO17" s="38">
        <v>0.0</v>
      </c>
      <c r="AP17" s="39">
        <v>2.0</v>
      </c>
      <c r="AQ17" s="39">
        <v>1.0</v>
      </c>
      <c r="AR17" s="38">
        <v>3.0</v>
      </c>
      <c r="AS17" s="38">
        <v>0.0</v>
      </c>
      <c r="AT17" s="39">
        <v>2.0</v>
      </c>
      <c r="AU17" s="39">
        <v>2.0</v>
      </c>
      <c r="AV17" s="38">
        <v>1.0</v>
      </c>
      <c r="AW17" s="38">
        <v>3.0</v>
      </c>
      <c r="AX17" s="39">
        <v>1.0</v>
      </c>
      <c r="AY17" s="39">
        <v>1.0</v>
      </c>
      <c r="AZ17" s="38">
        <v>3.0</v>
      </c>
      <c r="BA17" s="38">
        <v>1.0</v>
      </c>
      <c r="BB17" s="39">
        <v>4.0</v>
      </c>
      <c r="BC17" s="39">
        <v>0.0</v>
      </c>
      <c r="BD17" s="38">
        <v>3.0</v>
      </c>
      <c r="BE17" s="38">
        <v>2.0</v>
      </c>
      <c r="BF17" s="39">
        <v>1.0</v>
      </c>
      <c r="BG17" s="39">
        <v>1.0</v>
      </c>
      <c r="BH17" s="38">
        <v>1.0</v>
      </c>
      <c r="BI17" s="38">
        <v>3.0</v>
      </c>
      <c r="BJ17" s="39">
        <v>0.0</v>
      </c>
      <c r="BK17" s="39">
        <v>3.0</v>
      </c>
      <c r="BL17" s="38">
        <v>2.0</v>
      </c>
      <c r="BM17" s="38">
        <v>1.0</v>
      </c>
      <c r="BN17" s="39">
        <v>0.0</v>
      </c>
      <c r="BO17" s="39">
        <v>1.0</v>
      </c>
      <c r="BP17" s="38">
        <v>2.0</v>
      </c>
      <c r="BQ17" s="38">
        <v>1.0</v>
      </c>
      <c r="BR17" s="39">
        <v>2.0</v>
      </c>
      <c r="BS17" s="39">
        <v>1.0</v>
      </c>
      <c r="BT17" s="38">
        <v>2.0</v>
      </c>
      <c r="BU17" s="38">
        <v>2.0</v>
      </c>
      <c r="BV17" s="39">
        <v>1.0</v>
      </c>
      <c r="BW17" s="39">
        <v>0.0</v>
      </c>
      <c r="BX17" s="38">
        <v>4.0</v>
      </c>
      <c r="BY17" s="38">
        <v>0.0</v>
      </c>
      <c r="BZ17" s="39">
        <v>3.0</v>
      </c>
      <c r="CA17" s="39">
        <v>2.0</v>
      </c>
      <c r="CB17" s="38">
        <v>3.0</v>
      </c>
      <c r="CC17" s="38">
        <v>1.0</v>
      </c>
      <c r="CD17" s="39">
        <v>2.0</v>
      </c>
      <c r="CE17" s="39">
        <v>0.0</v>
      </c>
      <c r="CF17" s="38">
        <v>1.0</v>
      </c>
      <c r="CG17" s="38">
        <v>2.0</v>
      </c>
      <c r="CH17" s="39">
        <v>0.0</v>
      </c>
      <c r="CI17" s="39">
        <v>2.0</v>
      </c>
      <c r="CJ17" s="38">
        <v>2.0</v>
      </c>
      <c r="CK17" s="38">
        <v>0.0</v>
      </c>
      <c r="CL17" s="40">
        <v>2.0</v>
      </c>
      <c r="CM17" s="40">
        <v>0.0</v>
      </c>
      <c r="CN17" s="38">
        <v>1.0</v>
      </c>
      <c r="CO17" s="38">
        <v>2.0</v>
      </c>
      <c r="CP17" s="39">
        <v>1.0</v>
      </c>
      <c r="CQ17" s="39">
        <v>1.0</v>
      </c>
      <c r="CR17" s="38">
        <v>0.0</v>
      </c>
      <c r="CS17" s="38">
        <v>2.0</v>
      </c>
      <c r="CT17" s="39">
        <v>1.0</v>
      </c>
      <c r="CU17" s="39">
        <v>2.0</v>
      </c>
      <c r="CV17" s="25" t="s">
        <v>77</v>
      </c>
      <c r="CW17" s="10" t="s">
        <v>200</v>
      </c>
      <c r="CX17" s="10" t="s">
        <v>11</v>
      </c>
      <c r="CY17" s="10" t="s">
        <v>93</v>
      </c>
    </row>
    <row r="18">
      <c r="A18" s="9">
        <v>44884.517430555556</v>
      </c>
      <c r="B18" s="10" t="s">
        <v>201</v>
      </c>
      <c r="C18" s="10" t="s">
        <v>190</v>
      </c>
      <c r="D18" s="38">
        <v>0.0</v>
      </c>
      <c r="E18" s="38">
        <v>2.0</v>
      </c>
      <c r="F18" s="39">
        <v>1.0</v>
      </c>
      <c r="G18" s="39">
        <v>3.0</v>
      </c>
      <c r="H18" s="38">
        <v>1.0</v>
      </c>
      <c r="I18" s="38">
        <v>0.0</v>
      </c>
      <c r="J18" s="39">
        <v>1.0</v>
      </c>
      <c r="K18" s="39">
        <v>0.0</v>
      </c>
      <c r="L18" s="38">
        <v>3.0</v>
      </c>
      <c r="M18" s="38">
        <v>0.0</v>
      </c>
      <c r="N18" s="39">
        <v>1.0</v>
      </c>
      <c r="O18" s="39">
        <v>0.0</v>
      </c>
      <c r="P18" s="38">
        <v>3.0</v>
      </c>
      <c r="Q18" s="38">
        <v>1.0</v>
      </c>
      <c r="R18" s="39">
        <v>2.0</v>
      </c>
      <c r="S18" s="39">
        <v>1.0</v>
      </c>
      <c r="T18" s="38">
        <v>2.0</v>
      </c>
      <c r="U18" s="38">
        <v>1.0</v>
      </c>
      <c r="V18" s="39">
        <v>1.0</v>
      </c>
      <c r="W18" s="39">
        <v>0.0</v>
      </c>
      <c r="X18" s="38">
        <v>1.0</v>
      </c>
      <c r="Y18" s="38">
        <v>3.0</v>
      </c>
      <c r="Z18" s="39">
        <v>1.0</v>
      </c>
      <c r="AA18" s="39">
        <v>2.0</v>
      </c>
      <c r="AB18" s="38">
        <v>4.0</v>
      </c>
      <c r="AC18" s="38">
        <v>0.0</v>
      </c>
      <c r="AD18" s="39">
        <v>1.0</v>
      </c>
      <c r="AE18" s="39">
        <v>2.0</v>
      </c>
      <c r="AF18" s="38">
        <v>2.0</v>
      </c>
      <c r="AG18" s="38">
        <v>0.0</v>
      </c>
      <c r="AH18" s="39">
        <v>1.0</v>
      </c>
      <c r="AI18" s="39">
        <v>0.0</v>
      </c>
      <c r="AJ18" s="38">
        <v>0.0</v>
      </c>
      <c r="AK18" s="38">
        <v>3.0</v>
      </c>
      <c r="AL18" s="39">
        <v>0.0</v>
      </c>
      <c r="AM18" s="39">
        <v>1.0</v>
      </c>
      <c r="AN18" s="38">
        <v>3.0</v>
      </c>
      <c r="AO18" s="38">
        <v>1.0</v>
      </c>
      <c r="AP18" s="39">
        <v>2.0</v>
      </c>
      <c r="AQ18" s="39">
        <v>1.0</v>
      </c>
      <c r="AR18" s="38">
        <v>1.0</v>
      </c>
      <c r="AS18" s="38">
        <v>2.0</v>
      </c>
      <c r="AT18" s="39">
        <v>1.0</v>
      </c>
      <c r="AU18" s="39">
        <v>0.0</v>
      </c>
      <c r="AV18" s="38">
        <v>1.0</v>
      </c>
      <c r="AW18" s="38">
        <v>3.0</v>
      </c>
      <c r="AX18" s="39">
        <v>0.0</v>
      </c>
      <c r="AY18" s="39">
        <v>2.0</v>
      </c>
      <c r="AZ18" s="38">
        <v>2.0</v>
      </c>
      <c r="BA18" s="38">
        <v>0.0</v>
      </c>
      <c r="BB18" s="39">
        <v>3.0</v>
      </c>
      <c r="BC18" s="39">
        <v>1.0</v>
      </c>
      <c r="BD18" s="38">
        <v>1.0</v>
      </c>
      <c r="BE18" s="38">
        <v>2.0</v>
      </c>
      <c r="BF18" s="39">
        <v>1.0</v>
      </c>
      <c r="BG18" s="39">
        <v>0.0</v>
      </c>
      <c r="BH18" s="38">
        <v>1.0</v>
      </c>
      <c r="BI18" s="38">
        <v>2.0</v>
      </c>
      <c r="BJ18" s="39">
        <v>0.0</v>
      </c>
      <c r="BK18" s="39">
        <v>3.0</v>
      </c>
      <c r="BL18" s="38">
        <v>1.0</v>
      </c>
      <c r="BM18" s="38">
        <v>0.0</v>
      </c>
      <c r="BN18" s="39">
        <v>1.0</v>
      </c>
      <c r="BO18" s="39">
        <v>2.0</v>
      </c>
      <c r="BP18" s="38">
        <v>1.0</v>
      </c>
      <c r="BQ18" s="38">
        <v>0.0</v>
      </c>
      <c r="BR18" s="39">
        <v>2.0</v>
      </c>
      <c r="BS18" s="39">
        <v>1.0</v>
      </c>
      <c r="BT18" s="38">
        <v>1.0</v>
      </c>
      <c r="BU18" s="38">
        <v>1.0</v>
      </c>
      <c r="BV18" s="39">
        <v>1.0</v>
      </c>
      <c r="BW18" s="39">
        <v>0.0</v>
      </c>
      <c r="BX18" s="38">
        <v>3.0</v>
      </c>
      <c r="BY18" s="38">
        <v>1.0</v>
      </c>
      <c r="BZ18" s="39">
        <v>0.0</v>
      </c>
      <c r="CA18" s="39">
        <v>1.0</v>
      </c>
      <c r="CB18" s="38">
        <v>3.0</v>
      </c>
      <c r="CC18" s="38">
        <v>0.0</v>
      </c>
      <c r="CD18" s="39">
        <v>2.0</v>
      </c>
      <c r="CE18" s="39">
        <v>1.0</v>
      </c>
      <c r="CF18" s="38">
        <v>0.0</v>
      </c>
      <c r="CG18" s="38">
        <v>2.0</v>
      </c>
      <c r="CH18" s="39">
        <v>1.0</v>
      </c>
      <c r="CI18" s="39">
        <v>0.0</v>
      </c>
      <c r="CJ18" s="38">
        <v>2.0</v>
      </c>
      <c r="CK18" s="38">
        <v>1.0</v>
      </c>
      <c r="CL18" s="40">
        <v>2.0</v>
      </c>
      <c r="CM18" s="40">
        <v>1.0</v>
      </c>
      <c r="CN18" s="38">
        <v>2.0</v>
      </c>
      <c r="CO18" s="38">
        <v>1.0</v>
      </c>
      <c r="CP18" s="39">
        <v>2.0</v>
      </c>
      <c r="CQ18" s="39">
        <v>0.0</v>
      </c>
      <c r="CR18" s="38">
        <v>0.0</v>
      </c>
      <c r="CS18" s="38">
        <v>2.0</v>
      </c>
      <c r="CT18" s="39">
        <v>0.0</v>
      </c>
      <c r="CU18" s="39">
        <v>2.0</v>
      </c>
      <c r="CV18" s="25" t="s">
        <v>50</v>
      </c>
      <c r="CW18" s="10" t="s">
        <v>202</v>
      </c>
      <c r="CX18" s="10" t="s">
        <v>11</v>
      </c>
      <c r="CY18" s="10" t="s">
        <v>93</v>
      </c>
    </row>
    <row r="19">
      <c r="A19" s="9">
        <v>44884.517430555556</v>
      </c>
      <c r="B19" s="10" t="s">
        <v>64</v>
      </c>
      <c r="C19" s="10" t="s">
        <v>190</v>
      </c>
      <c r="D19" s="38">
        <v>0.0</v>
      </c>
      <c r="E19" s="38">
        <v>2.0</v>
      </c>
      <c r="F19" s="39">
        <v>2.0</v>
      </c>
      <c r="G19" s="39">
        <v>3.0</v>
      </c>
      <c r="H19" s="38">
        <v>1.0</v>
      </c>
      <c r="I19" s="38">
        <v>2.0</v>
      </c>
      <c r="J19" s="39">
        <v>2.0</v>
      </c>
      <c r="K19" s="39">
        <v>2.0</v>
      </c>
      <c r="L19" s="38">
        <v>1.0</v>
      </c>
      <c r="M19" s="38">
        <v>1.0</v>
      </c>
      <c r="N19" s="39">
        <v>2.0</v>
      </c>
      <c r="O19" s="39">
        <v>0.0</v>
      </c>
      <c r="P19" s="38">
        <v>3.0</v>
      </c>
      <c r="Q19" s="38">
        <v>0.0</v>
      </c>
      <c r="R19" s="39">
        <v>2.0</v>
      </c>
      <c r="S19" s="39">
        <v>1.0</v>
      </c>
      <c r="T19" s="38">
        <v>2.0</v>
      </c>
      <c r="U19" s="38">
        <v>0.0</v>
      </c>
      <c r="V19" s="39">
        <v>1.0</v>
      </c>
      <c r="W19" s="39">
        <v>1.0</v>
      </c>
      <c r="X19" s="38">
        <v>1.0</v>
      </c>
      <c r="Y19" s="38">
        <v>3.0</v>
      </c>
      <c r="Z19" s="39">
        <v>1.0</v>
      </c>
      <c r="AA19" s="39">
        <v>1.0</v>
      </c>
      <c r="AB19" s="38">
        <v>4.0</v>
      </c>
      <c r="AC19" s="38">
        <v>0.0</v>
      </c>
      <c r="AD19" s="39">
        <v>1.0</v>
      </c>
      <c r="AE19" s="39">
        <v>2.0</v>
      </c>
      <c r="AF19" s="38">
        <v>3.0</v>
      </c>
      <c r="AG19" s="38">
        <v>2.0</v>
      </c>
      <c r="AH19" s="39">
        <v>2.0</v>
      </c>
      <c r="AI19" s="39">
        <v>1.0</v>
      </c>
      <c r="AJ19" s="38">
        <v>0.0</v>
      </c>
      <c r="AK19" s="38">
        <v>3.0</v>
      </c>
      <c r="AL19" s="39">
        <v>1.0</v>
      </c>
      <c r="AM19" s="39">
        <v>2.0</v>
      </c>
      <c r="AN19" s="38">
        <v>3.0</v>
      </c>
      <c r="AO19" s="38">
        <v>1.0</v>
      </c>
      <c r="AP19" s="39">
        <v>2.0</v>
      </c>
      <c r="AQ19" s="39">
        <v>1.0</v>
      </c>
      <c r="AR19" s="38">
        <v>3.0</v>
      </c>
      <c r="AS19" s="38">
        <v>2.0</v>
      </c>
      <c r="AT19" s="39">
        <v>1.0</v>
      </c>
      <c r="AU19" s="39">
        <v>0.0</v>
      </c>
      <c r="AV19" s="38">
        <v>2.0</v>
      </c>
      <c r="AW19" s="38">
        <v>3.0</v>
      </c>
      <c r="AX19" s="39">
        <v>2.0</v>
      </c>
      <c r="AY19" s="39">
        <v>2.0</v>
      </c>
      <c r="AZ19" s="38">
        <v>3.0</v>
      </c>
      <c r="BA19" s="38">
        <v>1.0</v>
      </c>
      <c r="BB19" s="39">
        <v>2.0</v>
      </c>
      <c r="BC19" s="39">
        <v>0.0</v>
      </c>
      <c r="BD19" s="38">
        <v>2.0</v>
      </c>
      <c r="BE19" s="38">
        <v>2.0</v>
      </c>
      <c r="BF19" s="39">
        <v>1.0</v>
      </c>
      <c r="BG19" s="39">
        <v>0.0</v>
      </c>
      <c r="BH19" s="38">
        <v>1.0</v>
      </c>
      <c r="BI19" s="38">
        <v>3.0</v>
      </c>
      <c r="BJ19" s="39">
        <v>0.0</v>
      </c>
      <c r="BK19" s="39">
        <v>2.0</v>
      </c>
      <c r="BL19" s="38">
        <v>2.0</v>
      </c>
      <c r="BM19" s="38">
        <v>1.0</v>
      </c>
      <c r="BN19" s="39">
        <v>1.0</v>
      </c>
      <c r="BO19" s="39">
        <v>2.0</v>
      </c>
      <c r="BP19" s="38">
        <v>2.0</v>
      </c>
      <c r="BQ19" s="38">
        <v>0.0</v>
      </c>
      <c r="BR19" s="39">
        <v>2.0</v>
      </c>
      <c r="BS19" s="39">
        <v>1.0</v>
      </c>
      <c r="BT19" s="38">
        <v>1.0</v>
      </c>
      <c r="BU19" s="38">
        <v>2.0</v>
      </c>
      <c r="BV19" s="39">
        <v>2.0</v>
      </c>
      <c r="BW19" s="39">
        <v>1.0</v>
      </c>
      <c r="BX19" s="38">
        <v>3.0</v>
      </c>
      <c r="BY19" s="38">
        <v>0.0</v>
      </c>
      <c r="BZ19" s="39">
        <v>0.0</v>
      </c>
      <c r="CA19" s="39">
        <v>1.0</v>
      </c>
      <c r="CB19" s="38">
        <v>2.0</v>
      </c>
      <c r="CC19" s="38">
        <v>1.0</v>
      </c>
      <c r="CD19" s="39">
        <v>1.0</v>
      </c>
      <c r="CE19" s="39">
        <v>1.0</v>
      </c>
      <c r="CF19" s="38">
        <v>0.0</v>
      </c>
      <c r="CG19" s="38">
        <v>2.0</v>
      </c>
      <c r="CH19" s="39">
        <v>1.0</v>
      </c>
      <c r="CI19" s="39">
        <v>2.0</v>
      </c>
      <c r="CJ19" s="38">
        <v>3.0</v>
      </c>
      <c r="CK19" s="38">
        <v>1.0</v>
      </c>
      <c r="CL19" s="40">
        <v>2.0</v>
      </c>
      <c r="CM19" s="40">
        <v>0.0</v>
      </c>
      <c r="CN19" s="38">
        <v>1.0</v>
      </c>
      <c r="CO19" s="38">
        <v>2.0</v>
      </c>
      <c r="CP19" s="39">
        <v>2.0</v>
      </c>
      <c r="CQ19" s="39">
        <v>4.0</v>
      </c>
      <c r="CR19" s="38">
        <v>1.0</v>
      </c>
      <c r="CS19" s="38">
        <v>2.0</v>
      </c>
      <c r="CT19" s="39">
        <v>1.0</v>
      </c>
      <c r="CU19" s="39">
        <v>3.0</v>
      </c>
      <c r="CV19" s="25" t="s">
        <v>65</v>
      </c>
      <c r="CW19" s="10" t="s">
        <v>196</v>
      </c>
      <c r="CX19" s="10" t="s">
        <v>11</v>
      </c>
      <c r="CY19" s="10" t="s">
        <v>11</v>
      </c>
    </row>
    <row r="20">
      <c r="A20" s="9">
        <v>44884.517430555556</v>
      </c>
      <c r="B20" s="10" t="s">
        <v>203</v>
      </c>
      <c r="C20" s="10" t="s">
        <v>190</v>
      </c>
      <c r="D20" s="38">
        <v>0.0</v>
      </c>
      <c r="E20" s="38">
        <v>2.0</v>
      </c>
      <c r="F20" s="39">
        <v>1.0</v>
      </c>
      <c r="G20" s="39">
        <v>2.0</v>
      </c>
      <c r="H20" s="38">
        <v>1.0</v>
      </c>
      <c r="I20" s="38">
        <v>1.0</v>
      </c>
      <c r="J20" s="39">
        <v>2.0</v>
      </c>
      <c r="K20" s="39">
        <v>1.0</v>
      </c>
      <c r="L20" s="38">
        <v>2.0</v>
      </c>
      <c r="M20" s="38">
        <v>0.0</v>
      </c>
      <c r="N20" s="39">
        <v>0.0</v>
      </c>
      <c r="O20" s="39">
        <v>0.0</v>
      </c>
      <c r="P20" s="38">
        <v>3.0</v>
      </c>
      <c r="Q20" s="38">
        <v>0.0</v>
      </c>
      <c r="R20" s="39">
        <v>1.0</v>
      </c>
      <c r="S20" s="39">
        <v>3.0</v>
      </c>
      <c r="T20" s="38">
        <v>2.0</v>
      </c>
      <c r="U20" s="38">
        <v>0.0</v>
      </c>
      <c r="V20" s="39">
        <v>2.0</v>
      </c>
      <c r="W20" s="39">
        <v>0.0</v>
      </c>
      <c r="X20" s="38">
        <v>1.0</v>
      </c>
      <c r="Y20" s="38">
        <v>1.0</v>
      </c>
      <c r="Z20" s="39">
        <v>0.0</v>
      </c>
      <c r="AA20" s="39">
        <v>1.0</v>
      </c>
      <c r="AB20" s="38">
        <v>3.0</v>
      </c>
      <c r="AC20" s="38">
        <v>0.0</v>
      </c>
      <c r="AD20" s="39">
        <v>1.0</v>
      </c>
      <c r="AE20" s="39">
        <v>1.0</v>
      </c>
      <c r="AF20" s="38">
        <v>3.0</v>
      </c>
      <c r="AG20" s="38">
        <v>0.0</v>
      </c>
      <c r="AH20" s="39">
        <v>2.0</v>
      </c>
      <c r="AI20" s="39">
        <v>0.0</v>
      </c>
      <c r="AJ20" s="38">
        <v>1.0</v>
      </c>
      <c r="AK20" s="38">
        <v>2.0</v>
      </c>
      <c r="AL20" s="39">
        <v>0.0</v>
      </c>
      <c r="AM20" s="39">
        <v>1.0</v>
      </c>
      <c r="AN20" s="38">
        <v>4.0</v>
      </c>
      <c r="AO20" s="38">
        <v>0.0</v>
      </c>
      <c r="AP20" s="39">
        <v>2.0</v>
      </c>
      <c r="AQ20" s="39">
        <v>0.0</v>
      </c>
      <c r="AR20" s="38">
        <v>1.0</v>
      </c>
      <c r="AS20" s="38">
        <v>0.0</v>
      </c>
      <c r="AT20" s="39">
        <v>0.0</v>
      </c>
      <c r="AU20" s="39">
        <v>0.0</v>
      </c>
      <c r="AV20" s="38">
        <v>0.0</v>
      </c>
      <c r="AW20" s="38">
        <v>3.0</v>
      </c>
      <c r="AX20" s="39">
        <v>1.0</v>
      </c>
      <c r="AY20" s="39">
        <v>1.0</v>
      </c>
      <c r="AZ20" s="38">
        <v>2.0</v>
      </c>
      <c r="BA20" s="38">
        <v>0.0</v>
      </c>
      <c r="BB20" s="39">
        <v>3.0</v>
      </c>
      <c r="BC20" s="39">
        <v>1.0</v>
      </c>
      <c r="BD20" s="38">
        <v>2.0</v>
      </c>
      <c r="BE20" s="38">
        <v>3.0</v>
      </c>
      <c r="BF20" s="39">
        <v>2.0</v>
      </c>
      <c r="BG20" s="39">
        <v>1.0</v>
      </c>
      <c r="BH20" s="38">
        <v>1.0</v>
      </c>
      <c r="BI20" s="38">
        <v>1.0</v>
      </c>
      <c r="BJ20" s="39">
        <v>0.0</v>
      </c>
      <c r="BK20" s="39">
        <v>2.0</v>
      </c>
      <c r="BL20" s="38">
        <v>3.0</v>
      </c>
      <c r="BM20" s="38">
        <v>0.0</v>
      </c>
      <c r="BN20" s="39">
        <v>0.0</v>
      </c>
      <c r="BO20" s="39">
        <v>2.0</v>
      </c>
      <c r="BP20" s="38">
        <v>2.0</v>
      </c>
      <c r="BQ20" s="38">
        <v>0.0</v>
      </c>
      <c r="BR20" s="39">
        <v>2.0</v>
      </c>
      <c r="BS20" s="39">
        <v>1.0</v>
      </c>
      <c r="BT20" s="38">
        <v>1.0</v>
      </c>
      <c r="BU20" s="38">
        <v>1.0</v>
      </c>
      <c r="BV20" s="39">
        <v>0.0</v>
      </c>
      <c r="BW20" s="39">
        <v>0.0</v>
      </c>
      <c r="BX20" s="38">
        <v>3.0</v>
      </c>
      <c r="BY20" s="38">
        <v>0.0</v>
      </c>
      <c r="BZ20" s="39">
        <v>0.0</v>
      </c>
      <c r="CA20" s="39">
        <v>1.0</v>
      </c>
      <c r="CB20" s="38">
        <v>2.0</v>
      </c>
      <c r="CC20" s="38">
        <v>1.0</v>
      </c>
      <c r="CD20" s="39">
        <v>1.0</v>
      </c>
      <c r="CE20" s="39">
        <v>1.0</v>
      </c>
      <c r="CF20" s="38">
        <v>1.0</v>
      </c>
      <c r="CG20" s="38">
        <v>3.0</v>
      </c>
      <c r="CH20" s="39">
        <v>1.0</v>
      </c>
      <c r="CI20" s="39">
        <v>2.0</v>
      </c>
      <c r="CJ20" s="38">
        <v>2.0</v>
      </c>
      <c r="CK20" s="38">
        <v>1.0</v>
      </c>
      <c r="CL20" s="40">
        <v>2.0</v>
      </c>
      <c r="CM20" s="40">
        <v>2.0</v>
      </c>
      <c r="CN20" s="38">
        <v>0.0</v>
      </c>
      <c r="CO20" s="38">
        <v>0.0</v>
      </c>
      <c r="CP20" s="39">
        <v>1.0</v>
      </c>
      <c r="CQ20" s="39">
        <v>1.0</v>
      </c>
      <c r="CR20" s="38">
        <v>1.0</v>
      </c>
      <c r="CS20" s="38">
        <v>2.0</v>
      </c>
      <c r="CT20" s="39">
        <v>0.0</v>
      </c>
      <c r="CU20" s="39">
        <v>2.0</v>
      </c>
      <c r="CV20" s="25" t="s">
        <v>72</v>
      </c>
      <c r="CW20" s="10" t="s">
        <v>198</v>
      </c>
      <c r="CX20" s="10" t="s">
        <v>96</v>
      </c>
      <c r="CY20" s="10" t="s">
        <v>93</v>
      </c>
    </row>
    <row r="21">
      <c r="A21" s="9">
        <v>44884.517430555556</v>
      </c>
      <c r="B21" s="10" t="s">
        <v>19</v>
      </c>
      <c r="C21" s="10" t="s">
        <v>190</v>
      </c>
      <c r="D21" s="38">
        <v>2.0</v>
      </c>
      <c r="E21" s="38">
        <v>2.0</v>
      </c>
      <c r="F21" s="39">
        <v>1.0</v>
      </c>
      <c r="G21" s="39">
        <v>1.0</v>
      </c>
      <c r="H21" s="38">
        <v>1.0</v>
      </c>
      <c r="I21" s="38">
        <v>2.0</v>
      </c>
      <c r="J21" s="39">
        <v>1.0</v>
      </c>
      <c r="K21" s="39">
        <v>1.0</v>
      </c>
      <c r="L21" s="38">
        <v>2.0</v>
      </c>
      <c r="M21" s="38">
        <v>1.0</v>
      </c>
      <c r="N21" s="39">
        <v>2.0</v>
      </c>
      <c r="O21" s="39">
        <v>1.0</v>
      </c>
      <c r="P21" s="38">
        <v>2.0</v>
      </c>
      <c r="Q21" s="38">
        <v>1.0</v>
      </c>
      <c r="R21" s="39">
        <v>2.0</v>
      </c>
      <c r="S21" s="39">
        <v>1.0</v>
      </c>
      <c r="T21" s="38">
        <v>2.0</v>
      </c>
      <c r="U21" s="38">
        <v>0.0</v>
      </c>
      <c r="V21" s="39">
        <v>1.0</v>
      </c>
      <c r="W21" s="39">
        <v>1.0</v>
      </c>
      <c r="X21" s="38">
        <v>0.0</v>
      </c>
      <c r="Y21" s="38">
        <v>1.0</v>
      </c>
      <c r="Z21" s="39">
        <v>1.0</v>
      </c>
      <c r="AA21" s="39">
        <v>2.0</v>
      </c>
      <c r="AB21" s="38">
        <v>3.0</v>
      </c>
      <c r="AC21" s="38">
        <v>0.0</v>
      </c>
      <c r="AD21" s="39">
        <v>1.0</v>
      </c>
      <c r="AE21" s="39">
        <v>2.0</v>
      </c>
      <c r="AF21" s="38">
        <v>2.0</v>
      </c>
      <c r="AG21" s="38">
        <v>1.0</v>
      </c>
      <c r="AH21" s="39">
        <v>1.0</v>
      </c>
      <c r="AI21" s="39">
        <v>0.0</v>
      </c>
      <c r="AJ21" s="38">
        <v>0.0</v>
      </c>
      <c r="AK21" s="38">
        <v>3.0</v>
      </c>
      <c r="AL21" s="39">
        <v>1.0</v>
      </c>
      <c r="AM21" s="39">
        <v>2.0</v>
      </c>
      <c r="AN21" s="38">
        <v>3.0</v>
      </c>
      <c r="AO21" s="38">
        <v>1.0</v>
      </c>
      <c r="AP21" s="39">
        <v>2.0</v>
      </c>
      <c r="AQ21" s="39">
        <v>1.0</v>
      </c>
      <c r="AR21" s="38">
        <v>2.0</v>
      </c>
      <c r="AS21" s="38">
        <v>0.0</v>
      </c>
      <c r="AT21" s="39">
        <v>1.0</v>
      </c>
      <c r="AU21" s="39">
        <v>1.0</v>
      </c>
      <c r="AV21" s="38">
        <v>0.0</v>
      </c>
      <c r="AW21" s="38">
        <v>2.0</v>
      </c>
      <c r="AX21" s="39">
        <v>1.0</v>
      </c>
      <c r="AY21" s="39">
        <v>2.0</v>
      </c>
      <c r="AZ21" s="38">
        <v>2.0</v>
      </c>
      <c r="BA21" s="38">
        <v>0.0</v>
      </c>
      <c r="BB21" s="39">
        <v>1.0</v>
      </c>
      <c r="BC21" s="39">
        <v>1.0</v>
      </c>
      <c r="BD21" s="38">
        <v>2.0</v>
      </c>
      <c r="BE21" s="38">
        <v>3.0</v>
      </c>
      <c r="BF21" s="39">
        <v>1.0</v>
      </c>
      <c r="BG21" s="39">
        <v>1.0</v>
      </c>
      <c r="BH21" s="38">
        <v>1.0</v>
      </c>
      <c r="BI21" s="38">
        <v>2.0</v>
      </c>
      <c r="BJ21" s="39">
        <v>0.0</v>
      </c>
      <c r="BK21" s="39">
        <v>2.0</v>
      </c>
      <c r="BL21" s="38">
        <v>0.0</v>
      </c>
      <c r="BM21" s="38">
        <v>1.0</v>
      </c>
      <c r="BN21" s="39">
        <v>1.0</v>
      </c>
      <c r="BO21" s="39">
        <v>2.0</v>
      </c>
      <c r="BP21" s="38">
        <v>0.0</v>
      </c>
      <c r="BQ21" s="38">
        <v>1.0</v>
      </c>
      <c r="BR21" s="39">
        <v>2.0</v>
      </c>
      <c r="BS21" s="39">
        <v>2.0</v>
      </c>
      <c r="BT21" s="38">
        <v>2.0</v>
      </c>
      <c r="BU21" s="38">
        <v>1.0</v>
      </c>
      <c r="BV21" s="39">
        <v>0.0</v>
      </c>
      <c r="BW21" s="39">
        <v>2.0</v>
      </c>
      <c r="BX21" s="38">
        <v>3.0</v>
      </c>
      <c r="BY21" s="38">
        <v>0.0</v>
      </c>
      <c r="BZ21" s="39">
        <v>1.0</v>
      </c>
      <c r="CA21" s="39">
        <v>1.0</v>
      </c>
      <c r="CB21" s="38">
        <v>2.0</v>
      </c>
      <c r="CC21" s="38">
        <v>0.0</v>
      </c>
      <c r="CD21" s="39">
        <v>2.0</v>
      </c>
      <c r="CE21" s="39">
        <v>1.0</v>
      </c>
      <c r="CF21" s="38">
        <v>1.0</v>
      </c>
      <c r="CG21" s="38">
        <v>3.0</v>
      </c>
      <c r="CH21" s="39">
        <v>2.0</v>
      </c>
      <c r="CI21" s="39">
        <v>0.0</v>
      </c>
      <c r="CJ21" s="38">
        <v>2.0</v>
      </c>
      <c r="CK21" s="38">
        <v>0.0</v>
      </c>
      <c r="CL21" s="40">
        <v>1.0</v>
      </c>
      <c r="CM21" s="40">
        <v>1.0</v>
      </c>
      <c r="CN21" s="38">
        <v>1.0</v>
      </c>
      <c r="CO21" s="38">
        <v>1.0</v>
      </c>
      <c r="CP21" s="39">
        <v>1.0</v>
      </c>
      <c r="CQ21" s="39">
        <v>2.0</v>
      </c>
      <c r="CR21" s="38">
        <v>2.0</v>
      </c>
      <c r="CS21" s="38">
        <v>2.0</v>
      </c>
      <c r="CT21" s="39">
        <v>0.0</v>
      </c>
      <c r="CU21" s="39">
        <v>1.0</v>
      </c>
      <c r="CV21" s="25" t="s">
        <v>97</v>
      </c>
      <c r="CW21" s="10" t="s">
        <v>202</v>
      </c>
      <c r="CX21" s="10" t="s">
        <v>93</v>
      </c>
      <c r="CY21" s="10" t="s">
        <v>11</v>
      </c>
    </row>
    <row r="22">
      <c r="A22" s="9">
        <v>44884.517430555556</v>
      </c>
      <c r="B22" s="10" t="s">
        <v>48</v>
      </c>
      <c r="C22" s="10" t="s">
        <v>190</v>
      </c>
      <c r="D22" s="38">
        <v>1.0</v>
      </c>
      <c r="E22" s="38">
        <v>2.0</v>
      </c>
      <c r="F22" s="39">
        <v>1.0</v>
      </c>
      <c r="G22" s="39">
        <v>3.0</v>
      </c>
      <c r="H22" s="38">
        <v>2.0</v>
      </c>
      <c r="I22" s="38">
        <v>2.0</v>
      </c>
      <c r="J22" s="39">
        <v>2.0</v>
      </c>
      <c r="K22" s="39">
        <v>0.0</v>
      </c>
      <c r="L22" s="38">
        <v>4.0</v>
      </c>
      <c r="M22" s="38">
        <v>0.0</v>
      </c>
      <c r="N22" s="39">
        <v>2.0</v>
      </c>
      <c r="O22" s="39">
        <v>1.0</v>
      </c>
      <c r="P22" s="38">
        <v>5.0</v>
      </c>
      <c r="Q22" s="38">
        <v>1.0</v>
      </c>
      <c r="R22" s="39">
        <v>2.0</v>
      </c>
      <c r="S22" s="39">
        <v>2.0</v>
      </c>
      <c r="T22" s="38">
        <v>3.0</v>
      </c>
      <c r="U22" s="38">
        <v>1.0</v>
      </c>
      <c r="V22" s="39">
        <v>1.0</v>
      </c>
      <c r="W22" s="39">
        <v>2.0</v>
      </c>
      <c r="X22" s="38">
        <v>2.0</v>
      </c>
      <c r="Y22" s="38">
        <v>3.0</v>
      </c>
      <c r="Z22" s="39">
        <v>2.0</v>
      </c>
      <c r="AA22" s="39">
        <v>2.0</v>
      </c>
      <c r="AB22" s="38">
        <v>2.0</v>
      </c>
      <c r="AC22" s="38">
        <v>0.0</v>
      </c>
      <c r="AD22" s="39">
        <v>2.0</v>
      </c>
      <c r="AE22" s="39">
        <v>1.0</v>
      </c>
      <c r="AF22" s="38">
        <v>2.0</v>
      </c>
      <c r="AG22" s="38">
        <v>2.0</v>
      </c>
      <c r="AH22" s="39">
        <v>2.0</v>
      </c>
      <c r="AI22" s="39">
        <v>1.0</v>
      </c>
      <c r="AJ22" s="38">
        <v>2.0</v>
      </c>
      <c r="AK22" s="38">
        <v>2.0</v>
      </c>
      <c r="AL22" s="39">
        <v>1.0</v>
      </c>
      <c r="AM22" s="39">
        <v>2.0</v>
      </c>
      <c r="AN22" s="38">
        <v>2.0</v>
      </c>
      <c r="AO22" s="38">
        <v>0.0</v>
      </c>
      <c r="AP22" s="39">
        <v>3.0</v>
      </c>
      <c r="AQ22" s="39">
        <v>1.0</v>
      </c>
      <c r="AR22" s="38">
        <v>1.0</v>
      </c>
      <c r="AS22" s="38">
        <v>2.0</v>
      </c>
      <c r="AT22" s="39">
        <v>2.0</v>
      </c>
      <c r="AU22" s="39">
        <v>1.0</v>
      </c>
      <c r="AV22" s="38">
        <v>1.0</v>
      </c>
      <c r="AW22" s="38">
        <v>3.0</v>
      </c>
      <c r="AX22" s="39">
        <v>0.0</v>
      </c>
      <c r="AY22" s="39">
        <v>2.0</v>
      </c>
      <c r="AZ22" s="38">
        <v>2.0</v>
      </c>
      <c r="BA22" s="38">
        <v>2.0</v>
      </c>
      <c r="BB22" s="39">
        <v>3.0</v>
      </c>
      <c r="BC22" s="39">
        <v>1.0</v>
      </c>
      <c r="BD22" s="38">
        <v>1.0</v>
      </c>
      <c r="BE22" s="38">
        <v>3.0</v>
      </c>
      <c r="BF22" s="39">
        <v>1.0</v>
      </c>
      <c r="BG22" s="39">
        <v>2.0</v>
      </c>
      <c r="BH22" s="38">
        <v>1.0</v>
      </c>
      <c r="BI22" s="38">
        <v>3.0</v>
      </c>
      <c r="BJ22" s="39">
        <v>1.0</v>
      </c>
      <c r="BK22" s="39">
        <v>2.0</v>
      </c>
      <c r="BL22" s="38">
        <v>3.0</v>
      </c>
      <c r="BM22" s="38">
        <v>0.0</v>
      </c>
      <c r="BN22" s="39">
        <v>1.0</v>
      </c>
      <c r="BO22" s="39">
        <v>3.0</v>
      </c>
      <c r="BP22" s="38">
        <v>3.0</v>
      </c>
      <c r="BQ22" s="38">
        <v>2.0</v>
      </c>
      <c r="BR22" s="39">
        <v>4.0</v>
      </c>
      <c r="BS22" s="39">
        <v>0.0</v>
      </c>
      <c r="BT22" s="38">
        <v>3.0</v>
      </c>
      <c r="BU22" s="38">
        <v>3.0</v>
      </c>
      <c r="BV22" s="39">
        <v>0.0</v>
      </c>
      <c r="BW22" s="39">
        <v>2.0</v>
      </c>
      <c r="BX22" s="38">
        <v>4.0</v>
      </c>
      <c r="BY22" s="38">
        <v>1.0</v>
      </c>
      <c r="BZ22" s="39">
        <v>2.0</v>
      </c>
      <c r="CA22" s="39">
        <v>2.0</v>
      </c>
      <c r="CB22" s="38">
        <v>3.0</v>
      </c>
      <c r="CC22" s="38">
        <v>0.0</v>
      </c>
      <c r="CD22" s="39">
        <v>1.0</v>
      </c>
      <c r="CE22" s="39">
        <v>3.0</v>
      </c>
      <c r="CF22" s="38">
        <v>0.0</v>
      </c>
      <c r="CG22" s="38">
        <v>3.0</v>
      </c>
      <c r="CH22" s="39">
        <v>3.0</v>
      </c>
      <c r="CI22" s="39">
        <v>1.0</v>
      </c>
      <c r="CJ22" s="38">
        <v>2.0</v>
      </c>
      <c r="CK22" s="38">
        <v>0.0</v>
      </c>
      <c r="CL22" s="40">
        <v>1.0</v>
      </c>
      <c r="CM22" s="40">
        <v>2.0</v>
      </c>
      <c r="CN22" s="38">
        <v>1.0</v>
      </c>
      <c r="CO22" s="38">
        <v>2.0</v>
      </c>
      <c r="CP22" s="39">
        <v>2.0</v>
      </c>
      <c r="CQ22" s="39">
        <v>2.0</v>
      </c>
      <c r="CR22" s="38">
        <v>1.0</v>
      </c>
      <c r="CS22" s="38">
        <v>2.0</v>
      </c>
      <c r="CT22" s="39">
        <v>1.0</v>
      </c>
      <c r="CU22" s="39">
        <v>2.0</v>
      </c>
      <c r="CV22" s="25" t="s">
        <v>48</v>
      </c>
      <c r="CW22" s="10" t="s">
        <v>198</v>
      </c>
      <c r="CX22" s="10" t="s">
        <v>93</v>
      </c>
      <c r="CY22" s="10" t="s">
        <v>93</v>
      </c>
    </row>
    <row r="23">
      <c r="A23" s="9">
        <v>44884.517430555556</v>
      </c>
      <c r="B23" s="10" t="s">
        <v>49</v>
      </c>
      <c r="C23" s="10" t="s">
        <v>190</v>
      </c>
      <c r="D23" s="38">
        <v>0.0</v>
      </c>
      <c r="E23" s="38">
        <v>2.0</v>
      </c>
      <c r="F23" s="39">
        <v>0.0</v>
      </c>
      <c r="G23" s="39">
        <v>2.0</v>
      </c>
      <c r="H23" s="38">
        <v>1.0</v>
      </c>
      <c r="I23" s="38">
        <v>1.0</v>
      </c>
      <c r="J23" s="39">
        <v>3.0</v>
      </c>
      <c r="K23" s="39">
        <v>0.0</v>
      </c>
      <c r="L23" s="38">
        <v>2.0</v>
      </c>
      <c r="M23" s="38">
        <v>0.0</v>
      </c>
      <c r="N23" s="39">
        <v>1.0</v>
      </c>
      <c r="O23" s="39">
        <v>0.0</v>
      </c>
      <c r="P23" s="38">
        <v>3.0</v>
      </c>
      <c r="Q23" s="38">
        <v>1.0</v>
      </c>
      <c r="R23" s="39">
        <v>0.0</v>
      </c>
      <c r="S23" s="39">
        <v>2.0</v>
      </c>
      <c r="T23" s="38">
        <v>2.0</v>
      </c>
      <c r="U23" s="38">
        <v>0.0</v>
      </c>
      <c r="V23" s="39">
        <v>1.0</v>
      </c>
      <c r="W23" s="39">
        <v>0.0</v>
      </c>
      <c r="X23" s="38">
        <v>2.0</v>
      </c>
      <c r="Y23" s="38">
        <v>3.0</v>
      </c>
      <c r="Z23" s="39">
        <v>0.0</v>
      </c>
      <c r="AA23" s="39">
        <v>2.0</v>
      </c>
      <c r="AB23" s="38">
        <v>3.0</v>
      </c>
      <c r="AC23" s="38">
        <v>0.0</v>
      </c>
      <c r="AD23" s="39">
        <v>2.0</v>
      </c>
      <c r="AE23" s="39">
        <v>0.0</v>
      </c>
      <c r="AF23" s="38">
        <v>3.0</v>
      </c>
      <c r="AG23" s="38">
        <v>1.0</v>
      </c>
      <c r="AH23" s="39">
        <v>2.0</v>
      </c>
      <c r="AI23" s="39">
        <v>0.0</v>
      </c>
      <c r="AJ23" s="38">
        <v>1.0</v>
      </c>
      <c r="AK23" s="38">
        <v>2.0</v>
      </c>
      <c r="AL23" s="39">
        <v>1.0</v>
      </c>
      <c r="AM23" s="39">
        <v>3.0</v>
      </c>
      <c r="AN23" s="38">
        <v>4.0</v>
      </c>
      <c r="AO23" s="38">
        <v>0.0</v>
      </c>
      <c r="AP23" s="39">
        <v>1.0</v>
      </c>
      <c r="AQ23" s="39">
        <v>2.0</v>
      </c>
      <c r="AR23" s="38">
        <v>2.0</v>
      </c>
      <c r="AS23" s="38">
        <v>0.0</v>
      </c>
      <c r="AT23" s="39">
        <v>0.0</v>
      </c>
      <c r="AU23" s="39">
        <v>0.0</v>
      </c>
      <c r="AV23" s="38">
        <v>0.0</v>
      </c>
      <c r="AW23" s="38">
        <v>3.0</v>
      </c>
      <c r="AX23" s="39">
        <v>0.0</v>
      </c>
      <c r="AY23" s="39">
        <v>2.0</v>
      </c>
      <c r="AZ23" s="38">
        <v>2.0</v>
      </c>
      <c r="BA23" s="38">
        <v>1.0</v>
      </c>
      <c r="BB23" s="39">
        <v>3.0</v>
      </c>
      <c r="BC23" s="39">
        <v>0.0</v>
      </c>
      <c r="BD23" s="38">
        <v>1.0</v>
      </c>
      <c r="BE23" s="38">
        <v>1.0</v>
      </c>
      <c r="BF23" s="39">
        <v>0.0</v>
      </c>
      <c r="BG23" s="39">
        <v>2.0</v>
      </c>
      <c r="BH23" s="38">
        <v>1.0</v>
      </c>
      <c r="BI23" s="38">
        <v>3.0</v>
      </c>
      <c r="BJ23" s="39">
        <v>0.0</v>
      </c>
      <c r="BK23" s="39">
        <v>2.0</v>
      </c>
      <c r="BL23" s="38">
        <v>3.0</v>
      </c>
      <c r="BM23" s="38">
        <v>0.0</v>
      </c>
      <c r="BN23" s="39">
        <v>1.0</v>
      </c>
      <c r="BO23" s="39">
        <v>2.0</v>
      </c>
      <c r="BP23" s="38">
        <v>2.0</v>
      </c>
      <c r="BQ23" s="38">
        <v>1.0</v>
      </c>
      <c r="BR23" s="39">
        <v>2.0</v>
      </c>
      <c r="BS23" s="39">
        <v>0.0</v>
      </c>
      <c r="BT23" s="38">
        <v>2.0</v>
      </c>
      <c r="BU23" s="38">
        <v>2.0</v>
      </c>
      <c r="BV23" s="39">
        <v>0.0</v>
      </c>
      <c r="BW23" s="39">
        <v>1.0</v>
      </c>
      <c r="BX23" s="38">
        <v>3.0</v>
      </c>
      <c r="BY23" s="38">
        <v>0.0</v>
      </c>
      <c r="BZ23" s="39">
        <v>2.0</v>
      </c>
      <c r="CA23" s="39">
        <v>1.0</v>
      </c>
      <c r="CB23" s="38">
        <v>2.0</v>
      </c>
      <c r="CC23" s="38">
        <v>0.0</v>
      </c>
      <c r="CD23" s="39">
        <v>1.0</v>
      </c>
      <c r="CE23" s="39">
        <v>1.0</v>
      </c>
      <c r="CF23" s="38">
        <v>0.0</v>
      </c>
      <c r="CG23" s="38">
        <v>4.0</v>
      </c>
      <c r="CH23" s="39">
        <v>2.0</v>
      </c>
      <c r="CI23" s="39">
        <v>0.0</v>
      </c>
      <c r="CJ23" s="38">
        <v>3.0</v>
      </c>
      <c r="CK23" s="38">
        <v>0.0</v>
      </c>
      <c r="CL23" s="40">
        <v>2.0</v>
      </c>
      <c r="CM23" s="40">
        <v>1.0</v>
      </c>
      <c r="CN23" s="38">
        <v>2.0</v>
      </c>
      <c r="CO23" s="38">
        <v>2.0</v>
      </c>
      <c r="CP23" s="39">
        <v>1.0</v>
      </c>
      <c r="CQ23" s="39">
        <v>1.0</v>
      </c>
      <c r="CR23" s="38">
        <v>1.0</v>
      </c>
      <c r="CS23" s="38">
        <v>3.0</v>
      </c>
      <c r="CT23" s="39">
        <v>0.0</v>
      </c>
      <c r="CU23" s="39">
        <v>2.0</v>
      </c>
      <c r="CV23" s="25" t="s">
        <v>49</v>
      </c>
      <c r="CW23" s="10" t="s">
        <v>198</v>
      </c>
      <c r="CX23" s="10" t="s">
        <v>93</v>
      </c>
      <c r="CY23" s="10" t="s">
        <v>93</v>
      </c>
    </row>
    <row r="24">
      <c r="A24" s="9">
        <v>44884.517430555556</v>
      </c>
      <c r="B24" s="10" t="s">
        <v>21</v>
      </c>
      <c r="C24" s="10" t="s">
        <v>190</v>
      </c>
      <c r="D24" s="38">
        <v>0.0</v>
      </c>
      <c r="E24" s="38">
        <v>1.0</v>
      </c>
      <c r="F24" s="39">
        <v>0.0</v>
      </c>
      <c r="G24" s="39">
        <v>3.0</v>
      </c>
      <c r="H24" s="38">
        <v>1.0</v>
      </c>
      <c r="I24" s="38">
        <v>2.0</v>
      </c>
      <c r="J24" s="39">
        <v>2.0</v>
      </c>
      <c r="K24" s="39">
        <v>2.0</v>
      </c>
      <c r="L24" s="38">
        <v>2.0</v>
      </c>
      <c r="M24" s="38">
        <v>0.0</v>
      </c>
      <c r="N24" s="39">
        <v>2.0</v>
      </c>
      <c r="O24" s="39">
        <v>0.0</v>
      </c>
      <c r="P24" s="38">
        <v>3.0</v>
      </c>
      <c r="Q24" s="38">
        <v>0.0</v>
      </c>
      <c r="R24" s="39">
        <v>1.0</v>
      </c>
      <c r="S24" s="39">
        <v>1.0</v>
      </c>
      <c r="T24" s="38">
        <v>2.0</v>
      </c>
      <c r="U24" s="38">
        <v>0.0</v>
      </c>
      <c r="V24" s="39">
        <v>0.0</v>
      </c>
      <c r="W24" s="39">
        <v>0.0</v>
      </c>
      <c r="X24" s="38">
        <v>0.0</v>
      </c>
      <c r="Y24" s="38">
        <v>4.0</v>
      </c>
      <c r="Z24" s="39">
        <v>0.0</v>
      </c>
      <c r="AA24" s="39">
        <v>1.0</v>
      </c>
      <c r="AB24" s="38">
        <v>2.0</v>
      </c>
      <c r="AC24" s="38">
        <v>0.0</v>
      </c>
      <c r="AD24" s="39">
        <v>1.0</v>
      </c>
      <c r="AE24" s="39">
        <v>1.0</v>
      </c>
      <c r="AF24" s="38">
        <v>1.0</v>
      </c>
      <c r="AG24" s="38">
        <v>0.0</v>
      </c>
      <c r="AH24" s="39">
        <v>1.0</v>
      </c>
      <c r="AI24" s="39">
        <v>0.0</v>
      </c>
      <c r="AJ24" s="38">
        <v>1.0</v>
      </c>
      <c r="AK24" s="38">
        <v>2.0</v>
      </c>
      <c r="AL24" s="39">
        <v>2.0</v>
      </c>
      <c r="AM24" s="39">
        <v>2.0</v>
      </c>
      <c r="AN24" s="38">
        <v>2.0</v>
      </c>
      <c r="AO24" s="38">
        <v>0.0</v>
      </c>
      <c r="AP24" s="39">
        <v>3.0</v>
      </c>
      <c r="AQ24" s="39">
        <v>1.0</v>
      </c>
      <c r="AR24" s="38">
        <v>0.0</v>
      </c>
      <c r="AS24" s="38">
        <v>0.0</v>
      </c>
      <c r="AT24" s="39">
        <v>0.0</v>
      </c>
      <c r="AU24" s="39">
        <v>1.0</v>
      </c>
      <c r="AV24" s="38">
        <v>1.0</v>
      </c>
      <c r="AW24" s="38">
        <v>3.0</v>
      </c>
      <c r="AX24" s="39">
        <v>1.0</v>
      </c>
      <c r="AY24" s="39">
        <v>2.0</v>
      </c>
      <c r="AZ24" s="38">
        <v>2.0</v>
      </c>
      <c r="BA24" s="38">
        <v>0.0</v>
      </c>
      <c r="BB24" s="39">
        <v>2.0</v>
      </c>
      <c r="BC24" s="39">
        <v>1.0</v>
      </c>
      <c r="BD24" s="38">
        <v>2.0</v>
      </c>
      <c r="BE24" s="38">
        <v>2.0</v>
      </c>
      <c r="BF24" s="39">
        <v>1.0</v>
      </c>
      <c r="BG24" s="39">
        <v>0.0</v>
      </c>
      <c r="BH24" s="38">
        <v>0.0</v>
      </c>
      <c r="BI24" s="38">
        <v>3.0</v>
      </c>
      <c r="BJ24" s="39">
        <v>0.0</v>
      </c>
      <c r="BK24" s="39">
        <v>3.0</v>
      </c>
      <c r="BL24" s="38">
        <v>2.0</v>
      </c>
      <c r="BM24" s="38">
        <v>0.0</v>
      </c>
      <c r="BN24" s="39">
        <v>0.0</v>
      </c>
      <c r="BO24" s="39">
        <v>2.0</v>
      </c>
      <c r="BP24" s="38">
        <v>2.0</v>
      </c>
      <c r="BQ24" s="38">
        <v>0.0</v>
      </c>
      <c r="BR24" s="39">
        <v>2.0</v>
      </c>
      <c r="BS24" s="39">
        <v>1.0</v>
      </c>
      <c r="BT24" s="38">
        <v>1.0</v>
      </c>
      <c r="BU24" s="38">
        <v>1.0</v>
      </c>
      <c r="BV24" s="39">
        <v>1.0</v>
      </c>
      <c r="BW24" s="39">
        <v>0.0</v>
      </c>
      <c r="BX24" s="38">
        <v>2.0</v>
      </c>
      <c r="BY24" s="38">
        <v>1.0</v>
      </c>
      <c r="BZ24" s="39">
        <v>1.0</v>
      </c>
      <c r="CA24" s="39">
        <v>1.0</v>
      </c>
      <c r="CB24" s="38">
        <v>2.0</v>
      </c>
      <c r="CC24" s="38">
        <v>0.0</v>
      </c>
      <c r="CD24" s="39">
        <v>2.0</v>
      </c>
      <c r="CE24" s="39">
        <v>0.0</v>
      </c>
      <c r="CF24" s="38">
        <v>1.0</v>
      </c>
      <c r="CG24" s="38">
        <v>2.0</v>
      </c>
      <c r="CH24" s="39">
        <v>2.0</v>
      </c>
      <c r="CI24" s="39">
        <v>1.0</v>
      </c>
      <c r="CJ24" s="38">
        <v>2.0</v>
      </c>
      <c r="CK24" s="38">
        <v>1.0</v>
      </c>
      <c r="CL24" s="40">
        <v>1.0</v>
      </c>
      <c r="CM24" s="40">
        <v>0.0</v>
      </c>
      <c r="CN24" s="38">
        <v>1.0</v>
      </c>
      <c r="CO24" s="38">
        <v>1.0</v>
      </c>
      <c r="CP24" s="39">
        <v>0.0</v>
      </c>
      <c r="CQ24" s="39">
        <v>1.0</v>
      </c>
      <c r="CR24" s="38">
        <v>1.0</v>
      </c>
      <c r="CS24" s="38">
        <v>3.0</v>
      </c>
      <c r="CT24" s="39">
        <v>1.0</v>
      </c>
      <c r="CU24" s="39">
        <v>2.0</v>
      </c>
      <c r="CV24" s="25" t="s">
        <v>62</v>
      </c>
      <c r="CW24" s="10" t="s">
        <v>192</v>
      </c>
      <c r="CX24" s="10" t="s">
        <v>93</v>
      </c>
      <c r="CY24" s="10" t="s">
        <v>93</v>
      </c>
    </row>
    <row r="25">
      <c r="A25" s="9">
        <v>44884.517430555556</v>
      </c>
      <c r="B25" s="10" t="s">
        <v>204</v>
      </c>
      <c r="C25" s="10" t="s">
        <v>190</v>
      </c>
      <c r="D25" s="38">
        <v>1.0</v>
      </c>
      <c r="E25" s="38">
        <v>1.0</v>
      </c>
      <c r="F25" s="39">
        <v>1.0</v>
      </c>
      <c r="G25" s="39">
        <v>2.0</v>
      </c>
      <c r="H25" s="38">
        <v>0.0</v>
      </c>
      <c r="I25" s="38">
        <v>2.0</v>
      </c>
      <c r="J25" s="39">
        <v>2.0</v>
      </c>
      <c r="K25" s="39">
        <v>1.0</v>
      </c>
      <c r="L25" s="38">
        <v>3.0</v>
      </c>
      <c r="M25" s="38">
        <v>0.0</v>
      </c>
      <c r="N25" s="39">
        <v>1.0</v>
      </c>
      <c r="O25" s="39">
        <v>1.0</v>
      </c>
      <c r="P25" s="38">
        <v>3.0</v>
      </c>
      <c r="Q25" s="38">
        <v>0.0</v>
      </c>
      <c r="R25" s="39">
        <v>1.0</v>
      </c>
      <c r="S25" s="39">
        <v>0.0</v>
      </c>
      <c r="T25" s="38">
        <v>1.0</v>
      </c>
      <c r="U25" s="38">
        <v>0.0</v>
      </c>
      <c r="V25" s="39">
        <v>1.0</v>
      </c>
      <c r="W25" s="39">
        <v>1.0</v>
      </c>
      <c r="X25" s="38">
        <v>0.0</v>
      </c>
      <c r="Y25" s="38">
        <v>2.0</v>
      </c>
      <c r="Z25" s="39">
        <v>0.0</v>
      </c>
      <c r="AA25" s="39">
        <v>2.0</v>
      </c>
      <c r="AB25" s="38">
        <v>3.0</v>
      </c>
      <c r="AC25" s="38">
        <v>0.0</v>
      </c>
      <c r="AD25" s="39">
        <v>0.0</v>
      </c>
      <c r="AE25" s="39">
        <v>1.0</v>
      </c>
      <c r="AF25" s="38">
        <v>2.0</v>
      </c>
      <c r="AG25" s="38">
        <v>0.0</v>
      </c>
      <c r="AH25" s="39">
        <v>1.0</v>
      </c>
      <c r="AI25" s="39">
        <v>0.0</v>
      </c>
      <c r="AJ25" s="38">
        <v>0.0</v>
      </c>
      <c r="AK25" s="38">
        <v>1.0</v>
      </c>
      <c r="AL25" s="39">
        <v>0.0</v>
      </c>
      <c r="AM25" s="39">
        <v>1.0</v>
      </c>
      <c r="AN25" s="38">
        <v>2.0</v>
      </c>
      <c r="AO25" s="38">
        <v>0.0</v>
      </c>
      <c r="AP25" s="39">
        <v>1.0</v>
      </c>
      <c r="AQ25" s="39">
        <v>0.0</v>
      </c>
      <c r="AR25" s="38">
        <v>1.0</v>
      </c>
      <c r="AS25" s="38">
        <v>0.0</v>
      </c>
      <c r="AT25" s="39">
        <v>0.0</v>
      </c>
      <c r="AU25" s="39">
        <v>1.0</v>
      </c>
      <c r="AV25" s="38">
        <v>0.0</v>
      </c>
      <c r="AW25" s="38">
        <v>3.0</v>
      </c>
      <c r="AX25" s="39">
        <v>0.0</v>
      </c>
      <c r="AY25" s="39">
        <v>1.0</v>
      </c>
      <c r="AZ25" s="38">
        <v>2.0</v>
      </c>
      <c r="BA25" s="38">
        <v>0.0</v>
      </c>
      <c r="BB25" s="39">
        <v>2.0</v>
      </c>
      <c r="BC25" s="39">
        <v>0.0</v>
      </c>
      <c r="BD25" s="38">
        <v>1.0</v>
      </c>
      <c r="BE25" s="38">
        <v>2.0</v>
      </c>
      <c r="BF25" s="39">
        <v>0.0</v>
      </c>
      <c r="BG25" s="39">
        <v>1.0</v>
      </c>
      <c r="BH25" s="38">
        <v>1.0</v>
      </c>
      <c r="BI25" s="38">
        <v>3.0</v>
      </c>
      <c r="BJ25" s="39">
        <v>0.0</v>
      </c>
      <c r="BK25" s="39">
        <v>2.0</v>
      </c>
      <c r="BL25" s="38">
        <v>2.0</v>
      </c>
      <c r="BM25" s="38">
        <v>0.0</v>
      </c>
      <c r="BN25" s="39">
        <v>0.0</v>
      </c>
      <c r="BO25" s="39">
        <v>2.0</v>
      </c>
      <c r="BP25" s="38">
        <v>2.0</v>
      </c>
      <c r="BQ25" s="38">
        <v>0.0</v>
      </c>
      <c r="BR25" s="39">
        <v>1.0</v>
      </c>
      <c r="BS25" s="39">
        <v>0.0</v>
      </c>
      <c r="BT25" s="38">
        <v>0.0</v>
      </c>
      <c r="BU25" s="38">
        <v>0.0</v>
      </c>
      <c r="BV25" s="39">
        <v>1.0</v>
      </c>
      <c r="BW25" s="39">
        <v>1.0</v>
      </c>
      <c r="BX25" s="38">
        <v>2.0</v>
      </c>
      <c r="BY25" s="38">
        <v>0.0</v>
      </c>
      <c r="BZ25" s="39">
        <v>2.0</v>
      </c>
      <c r="CA25" s="39">
        <v>0.0</v>
      </c>
      <c r="CB25" s="38">
        <v>1.0</v>
      </c>
      <c r="CC25" s="38">
        <v>0.0</v>
      </c>
      <c r="CD25" s="39">
        <v>0.0</v>
      </c>
      <c r="CE25" s="39">
        <v>2.0</v>
      </c>
      <c r="CF25" s="38">
        <v>0.0</v>
      </c>
      <c r="CG25" s="38">
        <v>3.0</v>
      </c>
      <c r="CH25" s="39">
        <v>0.0</v>
      </c>
      <c r="CI25" s="39">
        <v>1.0</v>
      </c>
      <c r="CJ25" s="38">
        <v>1.0</v>
      </c>
      <c r="CK25" s="38">
        <v>0.0</v>
      </c>
      <c r="CL25" s="40">
        <v>1.0</v>
      </c>
      <c r="CM25" s="40">
        <v>0.0</v>
      </c>
      <c r="CN25" s="38">
        <v>1.0</v>
      </c>
      <c r="CO25" s="38">
        <v>0.0</v>
      </c>
      <c r="CP25" s="39">
        <v>0.0</v>
      </c>
      <c r="CQ25" s="39">
        <v>1.0</v>
      </c>
      <c r="CR25" s="38">
        <v>0.0</v>
      </c>
      <c r="CS25" s="38">
        <v>1.0</v>
      </c>
      <c r="CT25" s="39">
        <v>0.0</v>
      </c>
      <c r="CU25" s="39">
        <v>1.0</v>
      </c>
      <c r="CV25" s="25" t="s">
        <v>47</v>
      </c>
      <c r="CW25" s="10" t="s">
        <v>191</v>
      </c>
      <c r="CX25" s="10" t="s">
        <v>95</v>
      </c>
      <c r="CY25" s="10" t="s">
        <v>11</v>
      </c>
    </row>
    <row r="26">
      <c r="A26" s="9">
        <v>44884.517430555556</v>
      </c>
      <c r="B26" s="10" t="s">
        <v>117</v>
      </c>
      <c r="C26" s="10" t="s">
        <v>190</v>
      </c>
      <c r="D26" s="38">
        <v>2.0</v>
      </c>
      <c r="E26" s="38">
        <v>1.0</v>
      </c>
      <c r="F26" s="39">
        <v>0.0</v>
      </c>
      <c r="G26" s="39">
        <v>3.0</v>
      </c>
      <c r="H26" s="38">
        <v>1.0</v>
      </c>
      <c r="I26" s="38">
        <v>1.0</v>
      </c>
      <c r="J26" s="39">
        <v>4.0</v>
      </c>
      <c r="K26" s="39">
        <v>1.0</v>
      </c>
      <c r="L26" s="38">
        <v>3.0</v>
      </c>
      <c r="M26" s="38">
        <v>1.0</v>
      </c>
      <c r="N26" s="39">
        <v>2.0</v>
      </c>
      <c r="O26" s="39">
        <v>1.0</v>
      </c>
      <c r="P26" s="38">
        <v>3.0</v>
      </c>
      <c r="Q26" s="38">
        <v>1.0</v>
      </c>
      <c r="R26" s="39">
        <v>2.0</v>
      </c>
      <c r="S26" s="39">
        <v>0.0</v>
      </c>
      <c r="T26" s="38">
        <v>2.0</v>
      </c>
      <c r="U26" s="38">
        <v>2.0</v>
      </c>
      <c r="V26" s="39">
        <v>0.0</v>
      </c>
      <c r="W26" s="39">
        <v>0.0</v>
      </c>
      <c r="X26" s="38">
        <v>0.0</v>
      </c>
      <c r="Y26" s="38">
        <v>2.0</v>
      </c>
      <c r="Z26" s="39">
        <v>1.0</v>
      </c>
      <c r="AA26" s="39">
        <v>2.0</v>
      </c>
      <c r="AB26" s="38">
        <v>5.0</v>
      </c>
      <c r="AC26" s="38">
        <v>1.0</v>
      </c>
      <c r="AD26" s="39">
        <v>2.0</v>
      </c>
      <c r="AE26" s="39">
        <v>1.0</v>
      </c>
      <c r="AF26" s="38">
        <v>3.0</v>
      </c>
      <c r="AG26" s="38">
        <v>1.0</v>
      </c>
      <c r="AH26" s="39">
        <v>2.0</v>
      </c>
      <c r="AI26" s="39">
        <v>1.0</v>
      </c>
      <c r="AJ26" s="38">
        <v>0.0</v>
      </c>
      <c r="AK26" s="38">
        <v>4.0</v>
      </c>
      <c r="AL26" s="39">
        <v>1.0</v>
      </c>
      <c r="AM26" s="39">
        <v>2.0</v>
      </c>
      <c r="AN26" s="38">
        <v>4.0</v>
      </c>
      <c r="AO26" s="38">
        <v>1.0</v>
      </c>
      <c r="AP26" s="39">
        <v>1.0</v>
      </c>
      <c r="AQ26" s="39">
        <v>0.0</v>
      </c>
      <c r="AR26" s="38">
        <v>3.0</v>
      </c>
      <c r="AS26" s="38">
        <v>1.0</v>
      </c>
      <c r="AT26" s="39">
        <v>1.0</v>
      </c>
      <c r="AU26" s="39">
        <v>2.0</v>
      </c>
      <c r="AV26" s="38">
        <v>0.0</v>
      </c>
      <c r="AW26" s="38">
        <v>5.0</v>
      </c>
      <c r="AX26" s="39">
        <v>2.0</v>
      </c>
      <c r="AY26" s="39">
        <v>2.0</v>
      </c>
      <c r="AZ26" s="38">
        <v>3.0</v>
      </c>
      <c r="BA26" s="38">
        <v>0.0</v>
      </c>
      <c r="BB26" s="39">
        <v>2.0</v>
      </c>
      <c r="BC26" s="39">
        <v>1.0</v>
      </c>
      <c r="BD26" s="38">
        <v>2.0</v>
      </c>
      <c r="BE26" s="38">
        <v>2.0</v>
      </c>
      <c r="BF26" s="39">
        <v>3.0</v>
      </c>
      <c r="BG26" s="39">
        <v>2.0</v>
      </c>
      <c r="BH26" s="38">
        <v>2.0</v>
      </c>
      <c r="BI26" s="38">
        <v>3.0</v>
      </c>
      <c r="BJ26" s="39">
        <v>0.0</v>
      </c>
      <c r="BK26" s="39">
        <v>4.0</v>
      </c>
      <c r="BL26" s="38">
        <v>2.0</v>
      </c>
      <c r="BM26" s="38">
        <v>0.0</v>
      </c>
      <c r="BN26" s="39">
        <v>0.0</v>
      </c>
      <c r="BO26" s="39">
        <v>0.0</v>
      </c>
      <c r="BP26" s="38">
        <v>2.0</v>
      </c>
      <c r="BQ26" s="38">
        <v>1.0</v>
      </c>
      <c r="BR26" s="39">
        <v>1.0</v>
      </c>
      <c r="BS26" s="39">
        <v>1.0</v>
      </c>
      <c r="BT26" s="38">
        <v>1.0</v>
      </c>
      <c r="BU26" s="38">
        <v>1.0</v>
      </c>
      <c r="BV26" s="39">
        <v>1.0</v>
      </c>
      <c r="BW26" s="39">
        <v>1.0</v>
      </c>
      <c r="BX26" s="38">
        <v>5.0</v>
      </c>
      <c r="BY26" s="38">
        <v>0.0</v>
      </c>
      <c r="BZ26" s="39">
        <v>2.0</v>
      </c>
      <c r="CA26" s="39">
        <v>3.0</v>
      </c>
      <c r="CB26" s="38">
        <v>3.0</v>
      </c>
      <c r="CC26" s="38">
        <v>1.0</v>
      </c>
      <c r="CD26" s="39">
        <v>4.0</v>
      </c>
      <c r="CE26" s="39">
        <v>2.0</v>
      </c>
      <c r="CF26" s="38">
        <v>1.0</v>
      </c>
      <c r="CG26" s="38">
        <v>2.0</v>
      </c>
      <c r="CH26" s="39">
        <v>0.0</v>
      </c>
      <c r="CI26" s="39">
        <v>2.0</v>
      </c>
      <c r="CJ26" s="38">
        <v>2.0</v>
      </c>
      <c r="CK26" s="38">
        <v>0.0</v>
      </c>
      <c r="CL26" s="40">
        <v>4.0</v>
      </c>
      <c r="CM26" s="40">
        <v>1.0</v>
      </c>
      <c r="CN26" s="38">
        <v>3.0</v>
      </c>
      <c r="CO26" s="38">
        <v>3.0</v>
      </c>
      <c r="CP26" s="39">
        <v>1.0</v>
      </c>
      <c r="CQ26" s="39">
        <v>1.0</v>
      </c>
      <c r="CR26" s="38">
        <v>0.0</v>
      </c>
      <c r="CS26" s="38">
        <v>2.0</v>
      </c>
      <c r="CT26" s="39">
        <v>0.0</v>
      </c>
      <c r="CU26" s="39">
        <v>3.0</v>
      </c>
      <c r="CV26" s="25" t="s">
        <v>84</v>
      </c>
      <c r="CW26" s="10" t="s">
        <v>191</v>
      </c>
      <c r="CX26" s="10" t="s">
        <v>178</v>
      </c>
      <c r="CY26" s="10" t="s">
        <v>12</v>
      </c>
    </row>
    <row r="27">
      <c r="A27" s="9">
        <v>44884.517430555556</v>
      </c>
      <c r="B27" s="10" t="s">
        <v>116</v>
      </c>
      <c r="C27" s="10" t="s">
        <v>190</v>
      </c>
      <c r="D27" s="38">
        <v>0.0</v>
      </c>
      <c r="E27" s="38">
        <v>1.0</v>
      </c>
      <c r="F27" s="39">
        <v>1.0</v>
      </c>
      <c r="G27" s="39">
        <v>2.0</v>
      </c>
      <c r="H27" s="38">
        <v>0.0</v>
      </c>
      <c r="I27" s="38">
        <v>0.0</v>
      </c>
      <c r="J27" s="39">
        <v>1.0</v>
      </c>
      <c r="K27" s="39">
        <v>0.0</v>
      </c>
      <c r="L27" s="38">
        <v>3.0</v>
      </c>
      <c r="M27" s="38">
        <v>0.0</v>
      </c>
      <c r="N27" s="39">
        <v>1.0</v>
      </c>
      <c r="O27" s="39">
        <v>1.0</v>
      </c>
      <c r="P27" s="38">
        <v>3.0</v>
      </c>
      <c r="Q27" s="38">
        <v>0.0</v>
      </c>
      <c r="R27" s="39">
        <v>1.0</v>
      </c>
      <c r="S27" s="39">
        <v>1.0</v>
      </c>
      <c r="T27" s="38">
        <v>2.0</v>
      </c>
      <c r="U27" s="38">
        <v>0.0</v>
      </c>
      <c r="V27" s="39">
        <v>2.0</v>
      </c>
      <c r="W27" s="39">
        <v>0.0</v>
      </c>
      <c r="X27" s="38">
        <v>0.0</v>
      </c>
      <c r="Y27" s="38">
        <v>2.0</v>
      </c>
      <c r="Z27" s="39">
        <v>0.0</v>
      </c>
      <c r="AA27" s="39">
        <v>2.0</v>
      </c>
      <c r="AB27" s="38">
        <v>3.0</v>
      </c>
      <c r="AC27" s="38">
        <v>0.0</v>
      </c>
      <c r="AD27" s="39">
        <v>1.0</v>
      </c>
      <c r="AE27" s="39">
        <v>1.0</v>
      </c>
      <c r="AF27" s="38">
        <v>2.0</v>
      </c>
      <c r="AG27" s="38">
        <v>1.0</v>
      </c>
      <c r="AH27" s="39">
        <v>2.0</v>
      </c>
      <c r="AI27" s="39">
        <v>0.0</v>
      </c>
      <c r="AJ27" s="38">
        <v>0.0</v>
      </c>
      <c r="AK27" s="38">
        <v>3.0</v>
      </c>
      <c r="AL27" s="39">
        <v>0.0</v>
      </c>
      <c r="AM27" s="39">
        <v>2.0</v>
      </c>
      <c r="AN27" s="38">
        <v>2.0</v>
      </c>
      <c r="AO27" s="38">
        <v>0.0</v>
      </c>
      <c r="AP27" s="39">
        <v>1.0</v>
      </c>
      <c r="AQ27" s="39">
        <v>0.0</v>
      </c>
      <c r="AR27" s="38">
        <v>0.0</v>
      </c>
      <c r="AS27" s="38">
        <v>2.0</v>
      </c>
      <c r="AT27" s="39">
        <v>0.0</v>
      </c>
      <c r="AU27" s="39">
        <v>0.0</v>
      </c>
      <c r="AV27" s="38">
        <v>0.0</v>
      </c>
      <c r="AW27" s="38">
        <v>1.0</v>
      </c>
      <c r="AX27" s="39">
        <v>1.0</v>
      </c>
      <c r="AY27" s="39">
        <v>2.0</v>
      </c>
      <c r="AZ27" s="38">
        <v>2.0</v>
      </c>
      <c r="BA27" s="38">
        <v>0.0</v>
      </c>
      <c r="BB27" s="39">
        <v>2.0</v>
      </c>
      <c r="BC27" s="39">
        <v>1.0</v>
      </c>
      <c r="BD27" s="38">
        <v>1.0</v>
      </c>
      <c r="BE27" s="38">
        <v>1.0</v>
      </c>
      <c r="BF27" s="39">
        <v>2.0</v>
      </c>
      <c r="BG27" s="39">
        <v>1.0</v>
      </c>
      <c r="BH27" s="38">
        <v>1.0</v>
      </c>
      <c r="BI27" s="38">
        <v>2.0</v>
      </c>
      <c r="BJ27" s="39">
        <v>0.0</v>
      </c>
      <c r="BK27" s="39">
        <v>3.0</v>
      </c>
      <c r="BL27" s="38">
        <v>2.0</v>
      </c>
      <c r="BM27" s="38">
        <v>0.0</v>
      </c>
      <c r="BN27" s="39">
        <v>0.0</v>
      </c>
      <c r="BO27" s="39">
        <v>3.0</v>
      </c>
      <c r="BP27" s="38">
        <v>3.0</v>
      </c>
      <c r="BQ27" s="38">
        <v>0.0</v>
      </c>
      <c r="BR27" s="39">
        <v>2.0</v>
      </c>
      <c r="BS27" s="39">
        <v>0.0</v>
      </c>
      <c r="BT27" s="38">
        <v>1.0</v>
      </c>
      <c r="BU27" s="38">
        <v>2.0</v>
      </c>
      <c r="BV27" s="39">
        <v>0.0</v>
      </c>
      <c r="BW27" s="39">
        <v>0.0</v>
      </c>
      <c r="BX27" s="38">
        <v>3.0</v>
      </c>
      <c r="BY27" s="38">
        <v>1.0</v>
      </c>
      <c r="BZ27" s="39">
        <v>2.0</v>
      </c>
      <c r="CA27" s="39">
        <v>0.0</v>
      </c>
      <c r="CB27" s="38">
        <v>3.0</v>
      </c>
      <c r="CC27" s="38">
        <v>0.0</v>
      </c>
      <c r="CD27" s="39">
        <v>1.0</v>
      </c>
      <c r="CE27" s="39">
        <v>2.0</v>
      </c>
      <c r="CF27" s="38">
        <v>1.0</v>
      </c>
      <c r="CG27" s="38">
        <v>3.0</v>
      </c>
      <c r="CH27" s="39">
        <v>0.0</v>
      </c>
      <c r="CI27" s="39">
        <v>1.0</v>
      </c>
      <c r="CJ27" s="38">
        <v>2.0</v>
      </c>
      <c r="CK27" s="38">
        <v>0.0</v>
      </c>
      <c r="CL27" s="40">
        <v>2.0</v>
      </c>
      <c r="CM27" s="40">
        <v>0.0</v>
      </c>
      <c r="CN27" s="38">
        <v>1.0</v>
      </c>
      <c r="CO27" s="38">
        <v>2.0</v>
      </c>
      <c r="CP27" s="39">
        <v>0.0</v>
      </c>
      <c r="CQ27" s="39">
        <v>1.0</v>
      </c>
      <c r="CR27" s="38">
        <v>0.0</v>
      </c>
      <c r="CS27" s="38">
        <v>3.0</v>
      </c>
      <c r="CT27" s="39">
        <v>0.0</v>
      </c>
      <c r="CU27" s="39">
        <v>2.0</v>
      </c>
      <c r="CV27" s="25" t="s">
        <v>53</v>
      </c>
      <c r="CW27" s="10" t="s">
        <v>192</v>
      </c>
      <c r="CX27" s="10" t="s">
        <v>93</v>
      </c>
      <c r="CY27" s="10" t="s">
        <v>93</v>
      </c>
    </row>
    <row r="28">
      <c r="A28" s="9">
        <v>44884.517430555556</v>
      </c>
      <c r="B28" s="10" t="s">
        <v>34</v>
      </c>
      <c r="C28" s="10" t="s">
        <v>190</v>
      </c>
      <c r="D28" s="38">
        <v>0.0</v>
      </c>
      <c r="E28" s="38">
        <v>1.0</v>
      </c>
      <c r="F28" s="39">
        <v>0.0</v>
      </c>
      <c r="G28" s="39">
        <v>2.0</v>
      </c>
      <c r="H28" s="38">
        <v>2.0</v>
      </c>
      <c r="I28" s="38">
        <v>1.0</v>
      </c>
      <c r="J28" s="39">
        <v>1.0</v>
      </c>
      <c r="K28" s="39">
        <v>1.0</v>
      </c>
      <c r="L28" s="38">
        <v>2.0</v>
      </c>
      <c r="M28" s="38">
        <v>0.0</v>
      </c>
      <c r="N28" s="39">
        <v>3.0</v>
      </c>
      <c r="O28" s="39">
        <v>2.0</v>
      </c>
      <c r="P28" s="38">
        <v>3.0</v>
      </c>
      <c r="Q28" s="38">
        <v>1.0</v>
      </c>
      <c r="R28" s="39">
        <v>0.0</v>
      </c>
      <c r="S28" s="39">
        <v>3.0</v>
      </c>
      <c r="T28" s="38">
        <v>2.0</v>
      </c>
      <c r="U28" s="38">
        <v>1.0</v>
      </c>
      <c r="V28" s="39">
        <v>2.0</v>
      </c>
      <c r="W28" s="39">
        <v>0.0</v>
      </c>
      <c r="X28" s="38">
        <v>1.0</v>
      </c>
      <c r="Y28" s="38">
        <v>1.0</v>
      </c>
      <c r="Z28" s="39">
        <v>1.0</v>
      </c>
      <c r="AA28" s="39">
        <v>2.0</v>
      </c>
      <c r="AB28" s="38">
        <v>3.0</v>
      </c>
      <c r="AC28" s="38">
        <v>1.0</v>
      </c>
      <c r="AD28" s="39">
        <v>1.0</v>
      </c>
      <c r="AE28" s="39">
        <v>1.0</v>
      </c>
      <c r="AF28" s="38">
        <v>1.0</v>
      </c>
      <c r="AG28" s="38">
        <v>0.0</v>
      </c>
      <c r="AH28" s="39">
        <v>2.0</v>
      </c>
      <c r="AI28" s="39">
        <v>0.0</v>
      </c>
      <c r="AJ28" s="38">
        <v>0.0</v>
      </c>
      <c r="AK28" s="38">
        <v>0.0</v>
      </c>
      <c r="AL28" s="39">
        <v>1.0</v>
      </c>
      <c r="AM28" s="39">
        <v>2.0</v>
      </c>
      <c r="AN28" s="38">
        <v>4.0</v>
      </c>
      <c r="AO28" s="38">
        <v>0.0</v>
      </c>
      <c r="AP28" s="39">
        <v>1.0</v>
      </c>
      <c r="AQ28" s="39">
        <v>2.0</v>
      </c>
      <c r="AR28" s="38">
        <v>1.0</v>
      </c>
      <c r="AS28" s="38">
        <v>0.0</v>
      </c>
      <c r="AT28" s="39">
        <v>2.0</v>
      </c>
      <c r="AU28" s="39">
        <v>1.0</v>
      </c>
      <c r="AV28" s="38">
        <v>1.0</v>
      </c>
      <c r="AW28" s="38">
        <v>1.0</v>
      </c>
      <c r="AX28" s="39">
        <v>2.0</v>
      </c>
      <c r="AY28" s="39">
        <v>1.0</v>
      </c>
      <c r="AZ28" s="38">
        <v>1.0</v>
      </c>
      <c r="BA28" s="38">
        <v>1.0</v>
      </c>
      <c r="BB28" s="39">
        <v>2.0</v>
      </c>
      <c r="BC28" s="39">
        <v>0.0</v>
      </c>
      <c r="BD28" s="38">
        <v>0.0</v>
      </c>
      <c r="BE28" s="38">
        <v>0.0</v>
      </c>
      <c r="BF28" s="39">
        <v>0.0</v>
      </c>
      <c r="BG28" s="39">
        <v>1.0</v>
      </c>
      <c r="BH28" s="38">
        <v>0.0</v>
      </c>
      <c r="BI28" s="38">
        <v>2.0</v>
      </c>
      <c r="BJ28" s="39">
        <v>1.0</v>
      </c>
      <c r="BK28" s="39">
        <v>2.0</v>
      </c>
      <c r="BL28" s="38">
        <v>1.0</v>
      </c>
      <c r="BM28" s="38">
        <v>1.0</v>
      </c>
      <c r="BN28" s="39">
        <v>0.0</v>
      </c>
      <c r="BO28" s="39">
        <v>2.0</v>
      </c>
      <c r="BP28" s="38">
        <v>1.0</v>
      </c>
      <c r="BQ28" s="38">
        <v>0.0</v>
      </c>
      <c r="BR28" s="39">
        <v>0.0</v>
      </c>
      <c r="BS28" s="39">
        <v>0.0</v>
      </c>
      <c r="BT28" s="38">
        <v>3.0</v>
      </c>
      <c r="BU28" s="38">
        <v>2.0</v>
      </c>
      <c r="BV28" s="39">
        <v>2.0</v>
      </c>
      <c r="BW28" s="39">
        <v>1.0</v>
      </c>
      <c r="BX28" s="38">
        <v>3.0</v>
      </c>
      <c r="BY28" s="38">
        <v>0.0</v>
      </c>
      <c r="BZ28" s="39">
        <v>2.0</v>
      </c>
      <c r="CA28" s="39">
        <v>1.0</v>
      </c>
      <c r="CB28" s="38">
        <v>1.0</v>
      </c>
      <c r="CC28" s="38">
        <v>0.0</v>
      </c>
      <c r="CD28" s="39">
        <v>2.0</v>
      </c>
      <c r="CE28" s="39">
        <v>2.0</v>
      </c>
      <c r="CF28" s="38">
        <v>1.0</v>
      </c>
      <c r="CG28" s="38">
        <v>3.0</v>
      </c>
      <c r="CH28" s="39">
        <v>0.0</v>
      </c>
      <c r="CI28" s="39">
        <v>2.0</v>
      </c>
      <c r="CJ28" s="38">
        <v>2.0</v>
      </c>
      <c r="CK28" s="38">
        <v>0.0</v>
      </c>
      <c r="CL28" s="40">
        <v>1.0</v>
      </c>
      <c r="CM28" s="40">
        <v>0.0</v>
      </c>
      <c r="CN28" s="38">
        <v>1.0</v>
      </c>
      <c r="CO28" s="38">
        <v>1.0</v>
      </c>
      <c r="CP28" s="39">
        <v>1.0</v>
      </c>
      <c r="CQ28" s="39">
        <v>2.0</v>
      </c>
      <c r="CR28" s="38">
        <v>1.0</v>
      </c>
      <c r="CS28" s="38">
        <v>3.0</v>
      </c>
      <c r="CT28" s="39">
        <v>1.0</v>
      </c>
      <c r="CU28" s="39">
        <v>2.0</v>
      </c>
      <c r="CV28" s="25" t="s">
        <v>85</v>
      </c>
      <c r="CW28" s="10" t="s">
        <v>205</v>
      </c>
      <c r="CX28" s="10" t="s">
        <v>178</v>
      </c>
      <c r="CY28" s="10" t="s">
        <v>95</v>
      </c>
    </row>
    <row r="29">
      <c r="A29" s="9">
        <v>44884.517430555556</v>
      </c>
      <c r="B29" s="10" t="s">
        <v>42</v>
      </c>
      <c r="C29" s="10" t="s">
        <v>190</v>
      </c>
      <c r="D29" s="38">
        <v>1.0</v>
      </c>
      <c r="E29" s="38">
        <v>1.0</v>
      </c>
      <c r="F29" s="39">
        <v>1.0</v>
      </c>
      <c r="G29" s="39">
        <v>2.0</v>
      </c>
      <c r="H29" s="38">
        <v>0.0</v>
      </c>
      <c r="I29" s="38">
        <v>2.0</v>
      </c>
      <c r="J29" s="39">
        <v>2.0</v>
      </c>
      <c r="K29" s="39">
        <v>1.0</v>
      </c>
      <c r="L29" s="38">
        <v>3.0</v>
      </c>
      <c r="M29" s="38">
        <v>0.0</v>
      </c>
      <c r="N29" s="39">
        <v>1.0</v>
      </c>
      <c r="O29" s="39">
        <v>2.0</v>
      </c>
      <c r="P29" s="38">
        <v>3.0</v>
      </c>
      <c r="Q29" s="38">
        <v>0.0</v>
      </c>
      <c r="R29" s="39">
        <v>1.0</v>
      </c>
      <c r="S29" s="39">
        <v>1.0</v>
      </c>
      <c r="T29" s="38">
        <v>2.0</v>
      </c>
      <c r="U29" s="38">
        <v>0.0</v>
      </c>
      <c r="V29" s="39">
        <v>2.0</v>
      </c>
      <c r="W29" s="39">
        <v>0.0</v>
      </c>
      <c r="X29" s="38">
        <v>1.0</v>
      </c>
      <c r="Y29" s="38">
        <v>3.0</v>
      </c>
      <c r="Z29" s="39">
        <v>0.0</v>
      </c>
      <c r="AA29" s="39">
        <v>2.0</v>
      </c>
      <c r="AB29" s="38">
        <v>3.0</v>
      </c>
      <c r="AC29" s="38">
        <v>0.0</v>
      </c>
      <c r="AD29" s="39">
        <v>1.0</v>
      </c>
      <c r="AE29" s="39">
        <v>2.0</v>
      </c>
      <c r="AF29" s="38">
        <v>2.0</v>
      </c>
      <c r="AG29" s="38">
        <v>1.0</v>
      </c>
      <c r="AH29" s="39">
        <v>2.0</v>
      </c>
      <c r="AI29" s="39">
        <v>0.0</v>
      </c>
      <c r="AJ29" s="38">
        <v>1.0</v>
      </c>
      <c r="AK29" s="38">
        <v>1.0</v>
      </c>
      <c r="AL29" s="39">
        <v>1.0</v>
      </c>
      <c r="AM29" s="39">
        <v>2.0</v>
      </c>
      <c r="AN29" s="38">
        <v>3.0</v>
      </c>
      <c r="AO29" s="38">
        <v>1.0</v>
      </c>
      <c r="AP29" s="39">
        <v>2.0</v>
      </c>
      <c r="AQ29" s="39">
        <v>0.0</v>
      </c>
      <c r="AR29" s="38">
        <v>2.0</v>
      </c>
      <c r="AS29" s="38">
        <v>1.0</v>
      </c>
      <c r="AT29" s="39">
        <v>0.0</v>
      </c>
      <c r="AU29" s="39">
        <v>2.0</v>
      </c>
      <c r="AV29" s="38">
        <v>0.0</v>
      </c>
      <c r="AW29" s="38">
        <v>3.0</v>
      </c>
      <c r="AX29" s="39">
        <v>0.0</v>
      </c>
      <c r="AY29" s="39">
        <v>3.0</v>
      </c>
      <c r="AZ29" s="38">
        <v>2.0</v>
      </c>
      <c r="BA29" s="38">
        <v>1.0</v>
      </c>
      <c r="BB29" s="39">
        <v>3.0</v>
      </c>
      <c r="BC29" s="39">
        <v>1.0</v>
      </c>
      <c r="BD29" s="38">
        <v>2.0</v>
      </c>
      <c r="BE29" s="38">
        <v>1.0</v>
      </c>
      <c r="BF29" s="39">
        <v>1.0</v>
      </c>
      <c r="BG29" s="39">
        <v>0.0</v>
      </c>
      <c r="BH29" s="38">
        <v>0.0</v>
      </c>
      <c r="BI29" s="38">
        <v>2.0</v>
      </c>
      <c r="BJ29" s="39">
        <v>0.0</v>
      </c>
      <c r="BK29" s="39">
        <v>3.0</v>
      </c>
      <c r="BL29" s="38">
        <v>2.0</v>
      </c>
      <c r="BM29" s="38">
        <v>1.0</v>
      </c>
      <c r="BN29" s="39">
        <v>0.0</v>
      </c>
      <c r="BO29" s="39">
        <v>2.0</v>
      </c>
      <c r="BP29" s="38">
        <v>3.0</v>
      </c>
      <c r="BQ29" s="38">
        <v>0.0</v>
      </c>
      <c r="BR29" s="39">
        <v>1.0</v>
      </c>
      <c r="BS29" s="39">
        <v>2.0</v>
      </c>
      <c r="BT29" s="38">
        <v>1.0</v>
      </c>
      <c r="BU29" s="38">
        <v>2.0</v>
      </c>
      <c r="BV29" s="39">
        <v>3.0</v>
      </c>
      <c r="BW29" s="39">
        <v>1.0</v>
      </c>
      <c r="BX29" s="38">
        <v>3.0</v>
      </c>
      <c r="BY29" s="38">
        <v>0.0</v>
      </c>
      <c r="BZ29" s="39">
        <v>1.0</v>
      </c>
      <c r="CA29" s="39">
        <v>2.0</v>
      </c>
      <c r="CB29" s="38">
        <v>3.0</v>
      </c>
      <c r="CC29" s="38">
        <v>1.0</v>
      </c>
      <c r="CD29" s="39">
        <v>2.0</v>
      </c>
      <c r="CE29" s="39">
        <v>0.0</v>
      </c>
      <c r="CF29" s="38">
        <v>0.0</v>
      </c>
      <c r="CG29" s="38">
        <v>2.0</v>
      </c>
      <c r="CH29" s="39">
        <v>0.0</v>
      </c>
      <c r="CI29" s="39">
        <v>1.0</v>
      </c>
      <c r="CJ29" s="38">
        <v>3.0</v>
      </c>
      <c r="CK29" s="38">
        <v>0.0</v>
      </c>
      <c r="CL29" s="39">
        <v>2.0</v>
      </c>
      <c r="CM29" s="39">
        <v>0.0</v>
      </c>
      <c r="CN29" s="38">
        <v>2.0</v>
      </c>
      <c r="CO29" s="38">
        <v>1.0</v>
      </c>
      <c r="CP29" s="39">
        <v>1.0</v>
      </c>
      <c r="CQ29" s="39">
        <v>1.0</v>
      </c>
      <c r="CR29" s="38">
        <v>0.0</v>
      </c>
      <c r="CS29" s="38">
        <v>2.0</v>
      </c>
      <c r="CT29" s="39">
        <v>1.0</v>
      </c>
      <c r="CU29" s="39">
        <v>3.0</v>
      </c>
      <c r="CV29" s="25" t="s">
        <v>43</v>
      </c>
      <c r="CW29" s="10" t="s">
        <v>191</v>
      </c>
      <c r="CX29" s="10" t="s">
        <v>178</v>
      </c>
      <c r="CY29" s="10" t="s">
        <v>93</v>
      </c>
    </row>
    <row r="30">
      <c r="A30" s="9">
        <v>44884.517430555556</v>
      </c>
      <c r="B30" s="10" t="s">
        <v>206</v>
      </c>
      <c r="C30" s="10" t="s">
        <v>190</v>
      </c>
      <c r="D30" s="38">
        <v>1.0</v>
      </c>
      <c r="E30" s="38">
        <v>0.0</v>
      </c>
      <c r="F30" s="39">
        <v>1.0</v>
      </c>
      <c r="G30" s="39">
        <v>3.0</v>
      </c>
      <c r="H30" s="38">
        <v>0.0</v>
      </c>
      <c r="I30" s="38">
        <v>2.0</v>
      </c>
      <c r="J30" s="39">
        <v>3.0</v>
      </c>
      <c r="K30" s="39">
        <v>1.0</v>
      </c>
      <c r="L30" s="38">
        <v>4.0</v>
      </c>
      <c r="M30" s="38">
        <v>1.0</v>
      </c>
      <c r="N30" s="39">
        <v>2.0</v>
      </c>
      <c r="O30" s="39">
        <v>1.0</v>
      </c>
      <c r="P30" s="38">
        <v>3.0</v>
      </c>
      <c r="Q30" s="38">
        <v>0.0</v>
      </c>
      <c r="R30" s="39">
        <v>2.0</v>
      </c>
      <c r="S30" s="39">
        <v>0.0</v>
      </c>
      <c r="T30" s="38">
        <v>2.0</v>
      </c>
      <c r="U30" s="38">
        <v>1.0</v>
      </c>
      <c r="V30" s="39">
        <v>1.0</v>
      </c>
      <c r="W30" s="39">
        <v>0.0</v>
      </c>
      <c r="X30" s="38">
        <v>1.0</v>
      </c>
      <c r="Y30" s="38">
        <v>3.0</v>
      </c>
      <c r="Z30" s="39">
        <v>1.0</v>
      </c>
      <c r="AA30" s="39">
        <v>2.0</v>
      </c>
      <c r="AB30" s="38">
        <v>3.0</v>
      </c>
      <c r="AC30" s="38">
        <v>0.0</v>
      </c>
      <c r="AD30" s="39">
        <v>1.0</v>
      </c>
      <c r="AE30" s="39">
        <v>1.0</v>
      </c>
      <c r="AF30" s="38">
        <v>3.0</v>
      </c>
      <c r="AG30" s="38">
        <v>1.0</v>
      </c>
      <c r="AH30" s="39">
        <v>2.0</v>
      </c>
      <c r="AI30" s="39">
        <v>1.0</v>
      </c>
      <c r="AJ30" s="38">
        <v>0.0</v>
      </c>
      <c r="AK30" s="38">
        <v>2.0</v>
      </c>
      <c r="AL30" s="39">
        <v>0.0</v>
      </c>
      <c r="AM30" s="39">
        <v>2.0</v>
      </c>
      <c r="AN30" s="38">
        <v>2.0</v>
      </c>
      <c r="AO30" s="38">
        <v>0.0</v>
      </c>
      <c r="AP30" s="39">
        <v>2.0</v>
      </c>
      <c r="AQ30" s="39">
        <v>0.0</v>
      </c>
      <c r="AR30" s="38">
        <v>2.0</v>
      </c>
      <c r="AS30" s="38">
        <v>1.0</v>
      </c>
      <c r="AT30" s="39">
        <v>0.0</v>
      </c>
      <c r="AU30" s="39">
        <v>1.0</v>
      </c>
      <c r="AV30" s="38">
        <v>0.0</v>
      </c>
      <c r="AW30" s="38">
        <v>3.0</v>
      </c>
      <c r="AX30" s="39">
        <v>1.0</v>
      </c>
      <c r="AY30" s="39">
        <v>2.0</v>
      </c>
      <c r="AZ30" s="38">
        <v>2.0</v>
      </c>
      <c r="BA30" s="38">
        <v>0.0</v>
      </c>
      <c r="BB30" s="39">
        <v>2.0</v>
      </c>
      <c r="BC30" s="39">
        <v>0.0</v>
      </c>
      <c r="BD30" s="38">
        <v>2.0</v>
      </c>
      <c r="BE30" s="38">
        <v>1.0</v>
      </c>
      <c r="BF30" s="39">
        <v>0.0</v>
      </c>
      <c r="BG30" s="39">
        <v>1.0</v>
      </c>
      <c r="BH30" s="38">
        <v>1.0</v>
      </c>
      <c r="BI30" s="38">
        <v>2.0</v>
      </c>
      <c r="BJ30" s="39">
        <v>1.0</v>
      </c>
      <c r="BK30" s="39">
        <v>3.0</v>
      </c>
      <c r="BL30" s="38">
        <v>1.0</v>
      </c>
      <c r="BM30" s="38">
        <v>2.0</v>
      </c>
      <c r="BN30" s="39">
        <v>0.0</v>
      </c>
      <c r="BO30" s="39">
        <v>2.0</v>
      </c>
      <c r="BP30" s="38">
        <v>3.0</v>
      </c>
      <c r="BQ30" s="38">
        <v>1.0</v>
      </c>
      <c r="BR30" s="39">
        <v>1.0</v>
      </c>
      <c r="BS30" s="39">
        <v>0.0</v>
      </c>
      <c r="BT30" s="38">
        <v>1.0</v>
      </c>
      <c r="BU30" s="38">
        <v>2.0</v>
      </c>
      <c r="BV30" s="39">
        <v>1.0</v>
      </c>
      <c r="BW30" s="39">
        <v>0.0</v>
      </c>
      <c r="BX30" s="38">
        <v>3.0</v>
      </c>
      <c r="BY30" s="38">
        <v>0.0</v>
      </c>
      <c r="BZ30" s="39">
        <v>1.0</v>
      </c>
      <c r="CA30" s="39">
        <v>2.0</v>
      </c>
      <c r="CB30" s="38">
        <v>2.0</v>
      </c>
      <c r="CC30" s="38">
        <v>0.0</v>
      </c>
      <c r="CD30" s="39">
        <v>2.0</v>
      </c>
      <c r="CE30" s="39">
        <v>0.0</v>
      </c>
      <c r="CF30" s="38">
        <v>1.0</v>
      </c>
      <c r="CG30" s="38">
        <v>2.0</v>
      </c>
      <c r="CH30" s="39">
        <v>1.0</v>
      </c>
      <c r="CI30" s="39">
        <v>2.0</v>
      </c>
      <c r="CJ30" s="38">
        <v>3.0</v>
      </c>
      <c r="CK30" s="38">
        <v>1.0</v>
      </c>
      <c r="CL30" s="39">
        <v>2.0</v>
      </c>
      <c r="CM30" s="39">
        <v>0.0</v>
      </c>
      <c r="CN30" s="38">
        <v>1.0</v>
      </c>
      <c r="CO30" s="38">
        <v>2.0</v>
      </c>
      <c r="CP30" s="39">
        <v>1.0</v>
      </c>
      <c r="CQ30" s="39">
        <v>0.0</v>
      </c>
      <c r="CR30" s="38">
        <v>1.0</v>
      </c>
      <c r="CS30" s="38">
        <v>3.0</v>
      </c>
      <c r="CT30" s="39">
        <v>1.0</v>
      </c>
      <c r="CU30" s="39">
        <v>2.0</v>
      </c>
      <c r="CV30" s="25" t="s">
        <v>78</v>
      </c>
      <c r="CW30" s="10" t="s">
        <v>191</v>
      </c>
      <c r="CX30" s="10" t="s">
        <v>11</v>
      </c>
      <c r="CY30" s="10" t="s">
        <v>93</v>
      </c>
    </row>
    <row r="31">
      <c r="A31" s="9">
        <v>44885.517430555556</v>
      </c>
      <c r="B31" s="10" t="s">
        <v>207</v>
      </c>
      <c r="C31" s="10" t="s">
        <v>190</v>
      </c>
      <c r="D31" s="38">
        <v>1.0</v>
      </c>
      <c r="E31" s="38">
        <v>1.0</v>
      </c>
      <c r="F31" s="39">
        <v>0.0</v>
      </c>
      <c r="G31" s="39">
        <v>1.0</v>
      </c>
      <c r="H31" s="38">
        <v>2.0</v>
      </c>
      <c r="I31" s="38">
        <v>0.0</v>
      </c>
      <c r="J31" s="39">
        <v>2.0</v>
      </c>
      <c r="K31" s="39">
        <v>1.0</v>
      </c>
      <c r="L31" s="38">
        <v>1.0</v>
      </c>
      <c r="M31" s="38">
        <v>0.0</v>
      </c>
      <c r="N31" s="39">
        <v>1.0</v>
      </c>
      <c r="O31" s="39">
        <v>0.0</v>
      </c>
      <c r="P31" s="38">
        <v>2.0</v>
      </c>
      <c r="Q31" s="38">
        <v>1.0</v>
      </c>
      <c r="R31" s="39">
        <v>1.0</v>
      </c>
      <c r="S31" s="39">
        <v>0.0</v>
      </c>
      <c r="T31" s="38">
        <v>2.0</v>
      </c>
      <c r="U31" s="38">
        <v>1.0</v>
      </c>
      <c r="V31" s="39">
        <v>1.0</v>
      </c>
      <c r="W31" s="39">
        <v>1.0</v>
      </c>
      <c r="X31" s="38">
        <v>0.0</v>
      </c>
      <c r="Y31" s="38">
        <v>2.0</v>
      </c>
      <c r="Z31" s="39">
        <v>0.0</v>
      </c>
      <c r="AA31" s="39">
        <v>1.0</v>
      </c>
      <c r="AB31" s="38">
        <v>2.0</v>
      </c>
      <c r="AC31" s="38">
        <v>1.0</v>
      </c>
      <c r="AD31" s="39">
        <v>1.0</v>
      </c>
      <c r="AE31" s="39">
        <v>1.0</v>
      </c>
      <c r="AF31" s="38">
        <v>2.0</v>
      </c>
      <c r="AG31" s="38">
        <v>1.0</v>
      </c>
      <c r="AH31" s="39">
        <v>0.0</v>
      </c>
      <c r="AI31" s="39">
        <v>0.0</v>
      </c>
      <c r="AJ31" s="38">
        <v>0.0</v>
      </c>
      <c r="AK31" s="38">
        <v>2.0</v>
      </c>
      <c r="AL31" s="39">
        <v>1.0</v>
      </c>
      <c r="AM31" s="39">
        <v>2.0</v>
      </c>
      <c r="AN31" s="38">
        <v>1.0</v>
      </c>
      <c r="AO31" s="38">
        <v>0.0</v>
      </c>
      <c r="AP31" s="39">
        <v>2.0</v>
      </c>
      <c r="AQ31" s="39">
        <v>0.0</v>
      </c>
      <c r="AR31" s="38">
        <v>2.0</v>
      </c>
      <c r="AS31" s="38">
        <v>1.0</v>
      </c>
      <c r="AT31" s="39">
        <v>0.0</v>
      </c>
      <c r="AU31" s="39">
        <v>1.0</v>
      </c>
      <c r="AV31" s="38">
        <v>0.0</v>
      </c>
      <c r="AW31" s="38">
        <v>2.0</v>
      </c>
      <c r="AX31" s="39">
        <v>1.0</v>
      </c>
      <c r="AY31" s="39">
        <v>1.0</v>
      </c>
      <c r="AZ31" s="38">
        <v>2.0</v>
      </c>
      <c r="BA31" s="38">
        <v>0.0</v>
      </c>
      <c r="BB31" s="39">
        <v>2.0</v>
      </c>
      <c r="BC31" s="39">
        <v>1.0</v>
      </c>
      <c r="BD31" s="38">
        <v>2.0</v>
      </c>
      <c r="BE31" s="38">
        <v>1.0</v>
      </c>
      <c r="BF31" s="39">
        <v>2.0</v>
      </c>
      <c r="BG31" s="39">
        <v>0.0</v>
      </c>
      <c r="BH31" s="38">
        <v>1.0</v>
      </c>
      <c r="BI31" s="38">
        <v>2.0</v>
      </c>
      <c r="BJ31" s="39">
        <v>0.0</v>
      </c>
      <c r="BK31" s="39">
        <v>3.0</v>
      </c>
      <c r="BL31" s="38">
        <v>2.0</v>
      </c>
      <c r="BM31" s="38">
        <v>1.0</v>
      </c>
      <c r="BN31" s="39">
        <v>0.0</v>
      </c>
      <c r="BO31" s="39">
        <v>2.0</v>
      </c>
      <c r="BP31" s="38">
        <v>2.0</v>
      </c>
      <c r="BQ31" s="38">
        <v>0.0</v>
      </c>
      <c r="BR31" s="39">
        <v>2.0</v>
      </c>
      <c r="BS31" s="39">
        <v>1.0</v>
      </c>
      <c r="BT31" s="38">
        <v>2.0</v>
      </c>
      <c r="BU31" s="38">
        <v>2.0</v>
      </c>
      <c r="BV31" s="39">
        <v>2.0</v>
      </c>
      <c r="BW31" s="39">
        <v>1.0</v>
      </c>
      <c r="BX31" s="38">
        <v>2.0</v>
      </c>
      <c r="BY31" s="38">
        <v>0.0</v>
      </c>
      <c r="BZ31" s="39">
        <v>1.0</v>
      </c>
      <c r="CA31" s="39">
        <v>1.0</v>
      </c>
      <c r="CB31" s="38">
        <v>2.0</v>
      </c>
      <c r="CC31" s="38">
        <v>1.0</v>
      </c>
      <c r="CD31" s="39">
        <v>2.0</v>
      </c>
      <c r="CE31" s="39">
        <v>1.0</v>
      </c>
      <c r="CF31" s="38">
        <v>0.0</v>
      </c>
      <c r="CG31" s="38">
        <v>2.0</v>
      </c>
      <c r="CH31" s="39">
        <v>1.0</v>
      </c>
      <c r="CI31" s="39">
        <v>1.0</v>
      </c>
      <c r="CJ31" s="38">
        <v>2.0</v>
      </c>
      <c r="CK31" s="38">
        <v>1.0</v>
      </c>
      <c r="CL31" s="39">
        <v>2.0</v>
      </c>
      <c r="CM31" s="39">
        <v>1.0</v>
      </c>
      <c r="CN31" s="38">
        <v>2.0</v>
      </c>
      <c r="CO31" s="38">
        <v>2.0</v>
      </c>
      <c r="CP31" s="39">
        <v>1.0</v>
      </c>
      <c r="CQ31" s="39">
        <v>2.0</v>
      </c>
      <c r="CR31" s="38">
        <v>0.0</v>
      </c>
      <c r="CS31" s="38">
        <v>1.0</v>
      </c>
      <c r="CT31" s="39">
        <v>1.0</v>
      </c>
      <c r="CU31" s="39">
        <v>1.0</v>
      </c>
      <c r="CV31" s="25" t="s">
        <v>56</v>
      </c>
      <c r="CW31" s="10" t="s">
        <v>199</v>
      </c>
      <c r="CX31" s="10" t="s">
        <v>93</v>
      </c>
      <c r="CY31" s="10" t="s">
        <v>11</v>
      </c>
    </row>
  </sheetData>
  <mergeCells count="48"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H1:BI1"/>
    <mergeCell ref="BJ1:BK1"/>
    <mergeCell ref="BL1:BM1"/>
    <mergeCell ref="BN1:BO1"/>
    <mergeCell ref="BP1:BQ1"/>
    <mergeCell ref="BR1:BS1"/>
    <mergeCell ref="BT1:BU1"/>
    <mergeCell ref="CJ1:CK1"/>
    <mergeCell ref="CL1:CM1"/>
    <mergeCell ref="CN1:CO1"/>
    <mergeCell ref="CP1:CQ1"/>
    <mergeCell ref="CR1:CS1"/>
    <mergeCell ref="CT1:CU1"/>
    <mergeCell ref="BV1:BW1"/>
    <mergeCell ref="BX1:BY1"/>
    <mergeCell ref="BZ1:CA1"/>
    <mergeCell ref="CB1:CC1"/>
    <mergeCell ref="CD1:CE1"/>
    <mergeCell ref="CF1:CG1"/>
    <mergeCell ref="CH1:CI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sheetData>
    <row r="1">
      <c r="A1" s="41" t="s">
        <v>0</v>
      </c>
      <c r="B1" s="17" t="s">
        <v>7</v>
      </c>
      <c r="D1" s="17" t="s">
        <v>8</v>
      </c>
    </row>
    <row r="2">
      <c r="B2" s="41" t="s">
        <v>208</v>
      </c>
      <c r="C2" s="41" t="s">
        <v>209</v>
      </c>
      <c r="D2" s="41" t="s">
        <v>208</v>
      </c>
      <c r="E2" s="41" t="s">
        <v>209</v>
      </c>
      <c r="F2" s="10" t="s">
        <v>210</v>
      </c>
    </row>
    <row r="3">
      <c r="A3" s="3" t="str">
        <f>'Polla Final'!C18</f>
        <v>Andres y Cia.</v>
      </c>
      <c r="B3" s="3" t="str">
        <f>GANADOR_MARCADOR_POLLA('Polla Final'!D18,'Polla Final'!D2,'Polla Final'!E18,'Polla Final'!E2)</f>
        <v>EMPATE</v>
      </c>
      <c r="C3" s="3">
        <f>PUNTAJE_GANADORES('Polla Final'!D18,'Resultados Oficiales Final'!$C$3,'Polla Final'!E18,'Resultados Oficiales Final'!$D$3,B3,'Resultados Oficiales Final'!$F$3)</f>
        <v>1</v>
      </c>
      <c r="D3" s="3" t="str">
        <f>GANADOR_MARCADOR_POLLA('Polla Final'!F18,'Polla Final'!F2,'Polla Final'!G18,'Polla Final'!G2)</f>
        <v>EMPATE</v>
      </c>
      <c r="E3" s="3">
        <f>PUNTAJE_GANADORES('Polla Final'!F18,'Resultados Oficiales Final'!$C$2,'Polla Final'!G18,'Resultados Oficiales Final'!$D$2,D3,'Resultados Oficiales Final'!$F$2)</f>
        <v>1</v>
      </c>
      <c r="F3" s="3">
        <f>SUM(C3,E3)</f>
        <v>2</v>
      </c>
    </row>
    <row r="4">
      <c r="A4" s="3" t="s">
        <v>26</v>
      </c>
    </row>
  </sheetData>
  <mergeCells count="2">
    <mergeCell ref="B1:C1"/>
    <mergeCell ref="D1:E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0.25"/>
  </cols>
  <sheetData>
    <row r="1">
      <c r="A1" s="41" t="s">
        <v>0</v>
      </c>
      <c r="B1" s="10" t="s">
        <v>54</v>
      </c>
      <c r="D1" s="10" t="s">
        <v>55</v>
      </c>
    </row>
    <row r="2">
      <c r="B2" s="41" t="s">
        <v>208</v>
      </c>
      <c r="C2" s="41" t="s">
        <v>209</v>
      </c>
      <c r="D2" s="41" t="s">
        <v>208</v>
      </c>
      <c r="E2" s="41" t="s">
        <v>209</v>
      </c>
      <c r="F2" s="10" t="s">
        <v>210</v>
      </c>
    </row>
    <row r="3">
      <c r="A3" s="3" t="str">
        <f>'Pollas Semifinal'!C3</f>
        <v>Mauricio Perez (Mauro chef)</v>
      </c>
      <c r="B3" s="4" t="str">
        <f>GANADOR_MARCADOR_POLLA('Pollas Semifinal'!D3,'Pollas Semifinal'!$D$2,'Pollas Semifinal'!E3,'Pollas Semifinal'!$E$2)</f>
        <v>Argentina</v>
      </c>
      <c r="C3" s="4">
        <f>PUNTAJE_GANADORES('Pollas Semifinal'!D3,'Resultados SemiFinal Oficiales'!$C$2,'Pollas Semifinal'!E3,'Resultados SemiFinal Oficiales'!$D$2,B3,'Resultados SemiFinal Oficiales'!$F$2)</f>
        <v>2</v>
      </c>
      <c r="D3" s="4" t="str">
        <f>GANADOR_MARCADOR_POLLA('Pollas Semifinal'!F3,'Pollas Semifinal'!$F$2,'Pollas Semifinal'!G3,'Pollas Semifinal'!$G$2)</f>
        <v>Francia</v>
      </c>
      <c r="E3" s="4">
        <f>PUNTAJE_GANADORES('Pollas Semifinal'!F3,'Resultados SemiFinal Oficiales'!$C$3,'Pollas Semifinal'!G3,'Resultados SemiFinal Oficiales'!$D$3,D3,'Resultados SemiFinal Oficiales'!$F$3)</f>
        <v>5</v>
      </c>
      <c r="F3" s="4">
        <f t="shared" ref="F3:F31" si="1">SUM(C3,E3)</f>
        <v>7</v>
      </c>
    </row>
    <row r="4">
      <c r="A4" s="3" t="str">
        <f>'Pollas Semifinal'!C4</f>
        <v>Leonardo Valencia Valencia</v>
      </c>
      <c r="B4" s="4" t="str">
        <f>GANADOR_MARCADOR_POLLA('Pollas Semifinal'!D4,'Pollas Semifinal'!$D$2,'Pollas Semifinal'!E4,'Pollas Semifinal'!$E$2)</f>
        <v>EMPATE</v>
      </c>
      <c r="C4" s="4">
        <f>PUNTAJE_GANADORES('Pollas Semifinal'!D4,'Resultados SemiFinal Oficiales'!$C$2,'Pollas Semifinal'!E4,'Resultados SemiFinal Oficiales'!$D$2,B4,'Resultados SemiFinal Oficiales'!$F$2)</f>
        <v>0</v>
      </c>
      <c r="D4" s="4" t="str">
        <f>GANADOR_MARCADOR_POLLA('Pollas Semifinal'!F4,'Pollas Semifinal'!$F$2,'Pollas Semifinal'!G4,'Pollas Semifinal'!$G$2)</f>
        <v>Francia</v>
      </c>
      <c r="E4" s="4">
        <f>PUNTAJE_GANADORES('Pollas Semifinal'!F4,'Resultados SemiFinal Oficiales'!$C$3,'Pollas Semifinal'!G4,'Resultados SemiFinal Oficiales'!$D$3,D4,'Resultados SemiFinal Oficiales'!$F$3)</f>
        <v>3</v>
      </c>
      <c r="F4" s="4">
        <f t="shared" si="1"/>
        <v>3</v>
      </c>
    </row>
    <row r="5">
      <c r="A5" s="3" t="str">
        <f>'Pollas Semifinal'!C5</f>
        <v>Marta Restrepo</v>
      </c>
      <c r="B5" s="4" t="str">
        <f>GANADOR_MARCADOR_POLLA('Pollas Semifinal'!D5,'Pollas Semifinal'!$D$2,'Pollas Semifinal'!E5,'Pollas Semifinal'!$E$2)</f>
        <v>Argentina</v>
      </c>
      <c r="C5" s="4">
        <f>PUNTAJE_GANADORES('Pollas Semifinal'!D5,'Resultados SemiFinal Oficiales'!$C$2,'Pollas Semifinal'!E5,'Resultados SemiFinal Oficiales'!$D$2,B5,'Resultados SemiFinal Oficiales'!$F$2)</f>
        <v>3</v>
      </c>
      <c r="D5" s="4" t="str">
        <f>GANADOR_MARCADOR_POLLA('Pollas Semifinal'!F5,'Pollas Semifinal'!$F$2,'Pollas Semifinal'!G5,'Pollas Semifinal'!$G$2)</f>
        <v>EMPATE</v>
      </c>
      <c r="E5" s="4">
        <f>PUNTAJE_GANADORES('Pollas Semifinal'!F5,'Resultados SemiFinal Oficiales'!$C$3,'Pollas Semifinal'!G5,'Resultados SemiFinal Oficiales'!$D$3,D5,'Resultados SemiFinal Oficiales'!$F$3)</f>
        <v>0</v>
      </c>
      <c r="F5" s="4">
        <f t="shared" si="1"/>
        <v>3</v>
      </c>
    </row>
    <row r="6">
      <c r="A6" s="3" t="str">
        <f>'Pollas Semifinal'!C6</f>
        <v>Emerson Alexis Gomez</v>
      </c>
      <c r="B6" s="4" t="str">
        <f>GANADOR_MARCADOR_POLLA('Pollas Semifinal'!D6,'Pollas Semifinal'!$D$2,'Pollas Semifinal'!E6,'Pollas Semifinal'!$E$2)</f>
        <v>Croacia</v>
      </c>
      <c r="C6" s="4">
        <f>PUNTAJE_GANADORES('Pollas Semifinal'!D6,'Resultados SemiFinal Oficiales'!$C$2,'Pollas Semifinal'!E6,'Resultados SemiFinal Oficiales'!$D$2,B6,'Resultados SemiFinal Oficiales'!$F$2)</f>
        <v>0</v>
      </c>
      <c r="D6" s="4" t="str">
        <f>GANADOR_MARCADOR_POLLA('Pollas Semifinal'!F6,'Pollas Semifinal'!$F$2,'Pollas Semifinal'!G6,'Pollas Semifinal'!$G$2)</f>
        <v>Marruecos</v>
      </c>
      <c r="E6" s="4">
        <f>PUNTAJE_GANADORES('Pollas Semifinal'!F6,'Resultados SemiFinal Oficiales'!$C$3,'Pollas Semifinal'!G6,'Resultados SemiFinal Oficiales'!$D$3,D6,'Resultados SemiFinal Oficiales'!$F$3)</f>
        <v>0</v>
      </c>
      <c r="F6" s="4">
        <f t="shared" si="1"/>
        <v>0</v>
      </c>
    </row>
    <row r="7">
      <c r="A7" s="3" t="str">
        <f>'Pollas Semifinal'!C7</f>
        <v>La qatarsis mundial</v>
      </c>
      <c r="B7" s="4" t="str">
        <f>GANADOR_MARCADOR_POLLA('Pollas Semifinal'!D7,'Pollas Semifinal'!$D$2,'Pollas Semifinal'!E7,'Pollas Semifinal'!$E$2)</f>
        <v>EMPATE</v>
      </c>
      <c r="C7" s="4">
        <f>PUNTAJE_GANADORES('Pollas Semifinal'!D7,'Resultados SemiFinal Oficiales'!$C$2,'Pollas Semifinal'!E7,'Resultados SemiFinal Oficiales'!$D$2,B7,'Resultados SemiFinal Oficiales'!$F$2)</f>
        <v>1</v>
      </c>
      <c r="D7" s="4" t="str">
        <f>GANADOR_MARCADOR_POLLA('Pollas Semifinal'!F7,'Pollas Semifinal'!$F$2,'Pollas Semifinal'!G7,'Pollas Semifinal'!$G$2)</f>
        <v>Marruecos</v>
      </c>
      <c r="E7" s="4">
        <f>PUNTAJE_GANADORES('Pollas Semifinal'!F7,'Resultados SemiFinal Oficiales'!$C$3,'Pollas Semifinal'!G7,'Resultados SemiFinal Oficiales'!$D$3,D7,'Resultados SemiFinal Oficiales'!$F$3)</f>
        <v>1</v>
      </c>
      <c r="F7" s="4">
        <f t="shared" si="1"/>
        <v>2</v>
      </c>
    </row>
    <row r="8">
      <c r="A8" s="3" t="str">
        <f>'Pollas Semifinal'!C8</f>
        <v>Lore Mira</v>
      </c>
      <c r="B8" s="4" t="str">
        <f>GANADOR_MARCADOR_POLLA('Pollas Semifinal'!D8,'Pollas Semifinal'!$D$2,'Pollas Semifinal'!E8,'Pollas Semifinal'!$E$2)</f>
        <v>Croacia</v>
      </c>
      <c r="C8" s="4">
        <f>PUNTAJE_GANADORES('Pollas Semifinal'!D8,'Resultados SemiFinal Oficiales'!$C$2,'Pollas Semifinal'!E8,'Resultados SemiFinal Oficiales'!$D$2,B8,'Resultados SemiFinal Oficiales'!$F$2)</f>
        <v>0</v>
      </c>
      <c r="D8" s="4" t="str">
        <f>GANADOR_MARCADOR_POLLA('Pollas Semifinal'!F8,'Pollas Semifinal'!$F$2,'Pollas Semifinal'!G8,'Pollas Semifinal'!$G$2)</f>
        <v>Marruecos</v>
      </c>
      <c r="E8" s="4">
        <f>PUNTAJE_GANADORES('Pollas Semifinal'!F8,'Resultados SemiFinal Oficiales'!$C$3,'Pollas Semifinal'!G8,'Resultados SemiFinal Oficiales'!$D$3,D8,'Resultados SemiFinal Oficiales'!$F$3)</f>
        <v>0</v>
      </c>
      <c r="F8" s="4">
        <f t="shared" si="1"/>
        <v>0</v>
      </c>
    </row>
    <row r="9">
      <c r="A9" s="3" t="str">
        <f>'Pollas Semifinal'!C9</f>
        <v>TV y Novelas</v>
      </c>
      <c r="B9" s="4" t="str">
        <f>GANADOR_MARCADOR_POLLA('Pollas Semifinal'!D9,'Pollas Semifinal'!$D$2,'Pollas Semifinal'!E9,'Pollas Semifinal'!$E$2)</f>
        <v>EMPATE</v>
      </c>
      <c r="C9" s="4">
        <f>PUNTAJE_GANADORES('Pollas Semifinal'!D9,'Resultados SemiFinal Oficiales'!$C$2,'Pollas Semifinal'!E9,'Resultados SemiFinal Oficiales'!$D$2,B9,'Resultados SemiFinal Oficiales'!$F$2)</f>
        <v>0</v>
      </c>
      <c r="D9" s="4" t="str">
        <f>GANADOR_MARCADOR_POLLA('Pollas Semifinal'!F9,'Pollas Semifinal'!$F$2,'Pollas Semifinal'!G9,'Pollas Semifinal'!$G$2)</f>
        <v>Francia</v>
      </c>
      <c r="E9" s="4">
        <f>PUNTAJE_GANADORES('Pollas Semifinal'!F9,'Resultados SemiFinal Oficiales'!$C$3,'Pollas Semifinal'!G9,'Resultados SemiFinal Oficiales'!$D$3,D9,'Resultados SemiFinal Oficiales'!$F$3)</f>
        <v>5</v>
      </c>
      <c r="F9" s="4">
        <f t="shared" si="1"/>
        <v>5</v>
      </c>
    </row>
    <row r="10">
      <c r="A10" s="3" t="str">
        <f>'Pollas Semifinal'!C10</f>
        <v>Luis Fermin Naranjo Artehourtua</v>
      </c>
      <c r="B10" s="4" t="str">
        <f>GANADOR_MARCADOR_POLLA('Pollas Semifinal'!D10,'Pollas Semifinal'!$D$2,'Pollas Semifinal'!E10,'Pollas Semifinal'!$E$2)</f>
        <v>Argentina</v>
      </c>
      <c r="C10" s="4">
        <f>PUNTAJE_GANADORES('Pollas Semifinal'!D10,'Resultados SemiFinal Oficiales'!$C$2,'Pollas Semifinal'!E10,'Resultados SemiFinal Oficiales'!$D$2,B10,'Resultados SemiFinal Oficiales'!$F$2)</f>
        <v>3</v>
      </c>
      <c r="D10" s="4" t="str">
        <f>GANADOR_MARCADOR_POLLA('Pollas Semifinal'!F10,'Pollas Semifinal'!$F$2,'Pollas Semifinal'!G10,'Pollas Semifinal'!$G$2)</f>
        <v>Francia</v>
      </c>
      <c r="E10" s="4">
        <f>PUNTAJE_GANADORES('Pollas Semifinal'!F10,'Resultados SemiFinal Oficiales'!$C$3,'Pollas Semifinal'!G10,'Resultados SemiFinal Oficiales'!$D$3,D10,'Resultados SemiFinal Oficiales'!$F$3)</f>
        <v>3</v>
      </c>
      <c r="F10" s="4">
        <f t="shared" si="1"/>
        <v>6</v>
      </c>
    </row>
    <row r="11">
      <c r="A11" s="3" t="str">
        <f>'Pollas Semifinal'!C11</f>
        <v>Las Tejedoras</v>
      </c>
      <c r="B11" s="4" t="str">
        <f>GANADOR_MARCADOR_POLLA('Pollas Semifinal'!D11,'Pollas Semifinal'!$D$2,'Pollas Semifinal'!E11,'Pollas Semifinal'!$E$2)</f>
        <v>Argentina</v>
      </c>
      <c r="C11" s="4">
        <f>PUNTAJE_GANADORES('Pollas Semifinal'!D11,'Resultados SemiFinal Oficiales'!$C$2,'Pollas Semifinal'!E11,'Resultados SemiFinal Oficiales'!$D$2,B11,'Resultados SemiFinal Oficiales'!$F$2)</f>
        <v>3</v>
      </c>
      <c r="D11" s="4" t="str">
        <f>GANADOR_MARCADOR_POLLA('Pollas Semifinal'!F11,'Pollas Semifinal'!$F$2,'Pollas Semifinal'!G11,'Pollas Semifinal'!$G$2)</f>
        <v>Francia</v>
      </c>
      <c r="E11" s="4">
        <f>PUNTAJE_GANADORES('Pollas Semifinal'!F11,'Resultados SemiFinal Oficiales'!$C$3,'Pollas Semifinal'!G11,'Resultados SemiFinal Oficiales'!$D$3,D11,'Resultados SemiFinal Oficiales'!$F$3)</f>
        <v>3</v>
      </c>
      <c r="F11" s="4">
        <f t="shared" si="1"/>
        <v>6</v>
      </c>
    </row>
    <row r="12">
      <c r="A12" s="3" t="str">
        <f>'Pollas Semifinal'!C12</f>
        <v>Lolita</v>
      </c>
      <c r="B12" s="4" t="str">
        <f>GANADOR_MARCADOR_POLLA('Pollas Semifinal'!D12,'Pollas Semifinal'!$D$2,'Pollas Semifinal'!E12,'Pollas Semifinal'!$E$2)</f>
        <v>Argentina</v>
      </c>
      <c r="C12" s="4">
        <f>PUNTAJE_GANADORES('Pollas Semifinal'!D12,'Resultados SemiFinal Oficiales'!$C$2,'Pollas Semifinal'!E12,'Resultados SemiFinal Oficiales'!$D$2,B12,'Resultados SemiFinal Oficiales'!$F$2)</f>
        <v>2</v>
      </c>
      <c r="D12" s="4" t="str">
        <f>GANADOR_MARCADOR_POLLA('Pollas Semifinal'!F12,'Pollas Semifinal'!$F$2,'Pollas Semifinal'!G12,'Pollas Semifinal'!$G$2)</f>
        <v>Francia</v>
      </c>
      <c r="E12" s="4">
        <f>PUNTAJE_GANADORES('Pollas Semifinal'!F12,'Resultados SemiFinal Oficiales'!$C$3,'Pollas Semifinal'!G12,'Resultados SemiFinal Oficiales'!$D$3,D12,'Resultados SemiFinal Oficiales'!$F$3)</f>
        <v>3</v>
      </c>
      <c r="F12" s="4">
        <f t="shared" si="1"/>
        <v>5</v>
      </c>
    </row>
    <row r="13">
      <c r="A13" s="3" t="str">
        <f>'Pollas Semifinal'!C13</f>
        <v>Los Betancruz</v>
      </c>
      <c r="B13" s="4" t="str">
        <f>GANADOR_MARCADOR_POLLA('Pollas Semifinal'!D13,'Pollas Semifinal'!$D$2,'Pollas Semifinal'!E13,'Pollas Semifinal'!$E$2)</f>
        <v>EMPATE</v>
      </c>
      <c r="C13" s="4">
        <f>PUNTAJE_GANADORES('Pollas Semifinal'!D13,'Resultados SemiFinal Oficiales'!$C$2,'Pollas Semifinal'!E13,'Resultados SemiFinal Oficiales'!$D$2,B13,'Resultados SemiFinal Oficiales'!$F$2)</f>
        <v>0</v>
      </c>
      <c r="D13" s="4" t="str">
        <f>GANADOR_MARCADOR_POLLA('Pollas Semifinal'!F13,'Pollas Semifinal'!$F$2,'Pollas Semifinal'!G13,'Pollas Semifinal'!$G$2)</f>
        <v>Francia</v>
      </c>
      <c r="E13" s="4">
        <f>PUNTAJE_GANADORES('Pollas Semifinal'!F13,'Resultados SemiFinal Oficiales'!$C$3,'Pollas Semifinal'!G13,'Resultados SemiFinal Oficiales'!$D$3,D13,'Resultados SemiFinal Oficiales'!$F$3)</f>
        <v>3</v>
      </c>
      <c r="F13" s="4">
        <f t="shared" si="1"/>
        <v>3</v>
      </c>
    </row>
    <row r="14">
      <c r="A14" s="3" t="str">
        <f>'Pollas Semifinal'!C14</f>
        <v>Qatarsis 1.0</v>
      </c>
      <c r="B14" s="4" t="str">
        <f>GANADOR_MARCADOR_POLLA('Pollas Semifinal'!D14,'Pollas Semifinal'!$D$2,'Pollas Semifinal'!E14,'Pollas Semifinal'!$E$2)</f>
        <v>Croacia</v>
      </c>
      <c r="C14" s="4">
        <f>PUNTAJE_GANADORES('Pollas Semifinal'!D14,'Resultados SemiFinal Oficiales'!$C$2,'Pollas Semifinal'!E14,'Resultados SemiFinal Oficiales'!$D$2,B14,'Resultados SemiFinal Oficiales'!$F$2)</f>
        <v>0</v>
      </c>
      <c r="D14" s="4" t="str">
        <f>GANADOR_MARCADOR_POLLA('Pollas Semifinal'!F14,'Pollas Semifinal'!$F$2,'Pollas Semifinal'!G14,'Pollas Semifinal'!$G$2)</f>
        <v>EMPATE</v>
      </c>
      <c r="E14" s="4">
        <f>PUNTAJE_GANADORES('Pollas Semifinal'!F14,'Resultados SemiFinal Oficiales'!$C$3,'Pollas Semifinal'!G14,'Resultados SemiFinal Oficiales'!$D$3,D14,'Resultados SemiFinal Oficiales'!$F$3)</f>
        <v>1</v>
      </c>
      <c r="F14" s="4">
        <f t="shared" si="1"/>
        <v>1</v>
      </c>
    </row>
    <row r="15">
      <c r="A15" s="3" t="str">
        <f>'Pollas Semifinal'!C15</f>
        <v>Qatarsis 2.0</v>
      </c>
      <c r="B15" s="4" t="str">
        <f>GANADOR_MARCADOR_POLLA('Pollas Semifinal'!D15,'Pollas Semifinal'!$D$2,'Pollas Semifinal'!E15,'Pollas Semifinal'!$E$2)</f>
        <v>Croacia</v>
      </c>
      <c r="C15" s="4">
        <f>PUNTAJE_GANADORES('Pollas Semifinal'!D15,'Resultados SemiFinal Oficiales'!$C$2,'Pollas Semifinal'!E15,'Resultados SemiFinal Oficiales'!$D$2,B15,'Resultados SemiFinal Oficiales'!$F$2)</f>
        <v>0</v>
      </c>
      <c r="D15" s="4" t="str">
        <f>GANADOR_MARCADOR_POLLA('Pollas Semifinal'!F15,'Pollas Semifinal'!$F$2,'Pollas Semifinal'!G15,'Pollas Semifinal'!$G$2)</f>
        <v>EMPATE</v>
      </c>
      <c r="E15" s="4">
        <f>PUNTAJE_GANADORES('Pollas Semifinal'!F15,'Resultados SemiFinal Oficiales'!$C$3,'Pollas Semifinal'!G15,'Resultados SemiFinal Oficiales'!$D$3,D15,'Resultados SemiFinal Oficiales'!$F$3)</f>
        <v>0</v>
      </c>
      <c r="F15" s="4">
        <f t="shared" si="1"/>
        <v>0</v>
      </c>
    </row>
    <row r="16">
      <c r="A16" s="3" t="str">
        <f>'Pollas Semifinal'!C16</f>
        <v>Casa VIII</v>
      </c>
      <c r="B16" s="4" t="str">
        <f>GANADOR_MARCADOR_POLLA('Pollas Semifinal'!D16,'Pollas Semifinal'!$D$2,'Pollas Semifinal'!E16,'Pollas Semifinal'!$E$2)</f>
        <v>Argentina</v>
      </c>
      <c r="C16" s="4">
        <f>PUNTAJE_GANADORES('Pollas Semifinal'!D16,'Resultados SemiFinal Oficiales'!$C$2,'Pollas Semifinal'!E16,'Resultados SemiFinal Oficiales'!$D$2,B16,'Resultados SemiFinal Oficiales'!$F$2)</f>
        <v>2</v>
      </c>
      <c r="D16" s="4" t="str">
        <f>GANADOR_MARCADOR_POLLA('Pollas Semifinal'!F16,'Pollas Semifinal'!$F$2,'Pollas Semifinal'!G16,'Pollas Semifinal'!$G$2)</f>
        <v>Francia</v>
      </c>
      <c r="E16" s="4">
        <f>PUNTAJE_GANADORES('Pollas Semifinal'!F16,'Resultados SemiFinal Oficiales'!$C$3,'Pollas Semifinal'!G16,'Resultados SemiFinal Oficiales'!$D$3,D16,'Resultados SemiFinal Oficiales'!$F$3)</f>
        <v>5</v>
      </c>
      <c r="F16" s="4">
        <f t="shared" si="1"/>
        <v>7</v>
      </c>
    </row>
    <row r="17">
      <c r="A17" s="3" t="str">
        <f>'Pollas Semifinal'!C17</f>
        <v>Pascual</v>
      </c>
      <c r="B17" s="4" t="str">
        <f>GANADOR_MARCADOR_POLLA('Pollas Semifinal'!D17,'Pollas Semifinal'!$D$2,'Pollas Semifinal'!E17,'Pollas Semifinal'!$E$2)</f>
        <v>Croacia</v>
      </c>
      <c r="C17" s="4">
        <f>PUNTAJE_GANADORES('Pollas Semifinal'!D17,'Resultados SemiFinal Oficiales'!$C$2,'Pollas Semifinal'!E17,'Resultados SemiFinal Oficiales'!$D$2,B17,'Resultados SemiFinal Oficiales'!$F$2)</f>
        <v>0</v>
      </c>
      <c r="D17" s="4" t="str">
        <f>GANADOR_MARCADOR_POLLA('Pollas Semifinal'!F17,'Pollas Semifinal'!$F$2,'Pollas Semifinal'!G17,'Pollas Semifinal'!$G$2)</f>
        <v>Francia</v>
      </c>
      <c r="E17" s="4">
        <f>PUNTAJE_GANADORES('Pollas Semifinal'!F17,'Resultados SemiFinal Oficiales'!$C$3,'Pollas Semifinal'!G17,'Resultados SemiFinal Oficiales'!$D$3,D17,'Resultados SemiFinal Oficiales'!$F$3)</f>
        <v>5</v>
      </c>
      <c r="F17" s="4">
        <f t="shared" si="1"/>
        <v>5</v>
      </c>
    </row>
    <row r="18">
      <c r="A18" s="3" t="str">
        <f>'Pollas Semifinal'!C18</f>
        <v>El cuculeito del balon</v>
      </c>
      <c r="B18" s="4" t="str">
        <f>GANADOR_MARCADOR_POLLA('Pollas Semifinal'!D18,'Pollas Semifinal'!$D$2,'Pollas Semifinal'!E18,'Pollas Semifinal'!$E$2)</f>
        <v>EMPATE</v>
      </c>
      <c r="C18" s="4">
        <f>PUNTAJE_GANADORES('Pollas Semifinal'!D18,'Resultados SemiFinal Oficiales'!$C$2,'Pollas Semifinal'!E18,'Resultados SemiFinal Oficiales'!$D$2,B18,'Resultados SemiFinal Oficiales'!$F$2)</f>
        <v>0</v>
      </c>
      <c r="D18" s="4" t="str">
        <f>GANADOR_MARCADOR_POLLA('Pollas Semifinal'!F18,'Pollas Semifinal'!$F$2,'Pollas Semifinal'!G18,'Pollas Semifinal'!$G$2)</f>
        <v>Francia</v>
      </c>
      <c r="E18" s="4">
        <f>PUNTAJE_GANADORES('Pollas Semifinal'!F18,'Resultados SemiFinal Oficiales'!$C$3,'Pollas Semifinal'!G18,'Resultados SemiFinal Oficiales'!$D$3,D18,'Resultados SemiFinal Oficiales'!$F$3)</f>
        <v>3</v>
      </c>
      <c r="F18" s="4">
        <f t="shared" si="1"/>
        <v>3</v>
      </c>
    </row>
    <row r="19">
      <c r="A19" s="3" t="str">
        <f>'Pollas Semifinal'!C19</f>
        <v>Andres &amp; Cia</v>
      </c>
      <c r="B19" s="4" t="str">
        <f>GANADOR_MARCADOR_POLLA('Pollas Semifinal'!D19,'Pollas Semifinal'!$D$2,'Pollas Semifinal'!E19,'Pollas Semifinal'!$E$2)</f>
        <v>EMPATE</v>
      </c>
      <c r="C19" s="4">
        <f>PUNTAJE_GANADORES('Pollas Semifinal'!D19,'Resultados SemiFinal Oficiales'!$C$2,'Pollas Semifinal'!E19,'Resultados SemiFinal Oficiales'!$D$2,B19,'Resultados SemiFinal Oficiales'!$F$2)</f>
        <v>1</v>
      </c>
      <c r="D19" s="4" t="str">
        <f>GANADOR_MARCADOR_POLLA('Pollas Semifinal'!F19,'Pollas Semifinal'!$F$2,'Pollas Semifinal'!G19,'Pollas Semifinal'!$G$2)</f>
        <v>EMPATE</v>
      </c>
      <c r="E19" s="4">
        <f>PUNTAJE_GANADORES('Pollas Semifinal'!F19,'Resultados SemiFinal Oficiales'!$C$3,'Pollas Semifinal'!G19,'Resultados SemiFinal Oficiales'!$D$3,D19,'Resultados SemiFinal Oficiales'!$F$3)</f>
        <v>1</v>
      </c>
      <c r="F19" s="4">
        <f t="shared" si="1"/>
        <v>2</v>
      </c>
    </row>
    <row r="20">
      <c r="A20" s="3" t="str">
        <f>'Pollas Semifinal'!C20</f>
        <v>Alejandro Botero</v>
      </c>
      <c r="B20" s="4" t="str">
        <f>GANADOR_MARCADOR_POLLA('Pollas Semifinal'!D20,'Pollas Semifinal'!$D$2,'Pollas Semifinal'!E20,'Pollas Semifinal'!$E$2)</f>
        <v>EMPATE</v>
      </c>
      <c r="C20" s="4">
        <f>PUNTAJE_GANADORES('Pollas Semifinal'!D20,'Resultados SemiFinal Oficiales'!$C$2,'Pollas Semifinal'!E20,'Resultados SemiFinal Oficiales'!$D$2,B20,'Resultados SemiFinal Oficiales'!$F$2)</f>
        <v>0</v>
      </c>
      <c r="D20" s="4" t="str">
        <f>GANADOR_MARCADOR_POLLA('Pollas Semifinal'!F20,'Pollas Semifinal'!$F$2,'Pollas Semifinal'!G20,'Pollas Semifinal'!$G$2)</f>
        <v>Francia</v>
      </c>
      <c r="E20" s="4">
        <f>PUNTAJE_GANADORES('Pollas Semifinal'!F20,'Resultados SemiFinal Oficiales'!$C$3,'Pollas Semifinal'!G20,'Resultados SemiFinal Oficiales'!$D$3,D20,'Resultados SemiFinal Oficiales'!$F$3)</f>
        <v>3</v>
      </c>
      <c r="F20" s="4">
        <f t="shared" si="1"/>
        <v>3</v>
      </c>
    </row>
    <row r="21">
      <c r="A21" s="3" t="str">
        <f>'Pollas Semifinal'!C21</f>
        <v>pregunte por lo que no vea</v>
      </c>
      <c r="B21" s="4" t="str">
        <f>GANADOR_MARCADOR_POLLA('Pollas Semifinal'!D21,'Pollas Semifinal'!$D$2,'Pollas Semifinal'!E21,'Pollas Semifinal'!$E$2)</f>
        <v>Argentina</v>
      </c>
      <c r="C21" s="4">
        <f>PUNTAJE_GANADORES('Pollas Semifinal'!D21,'Resultados SemiFinal Oficiales'!$C$2,'Pollas Semifinal'!E21,'Resultados SemiFinal Oficiales'!$D$2,B21,'Resultados SemiFinal Oficiales'!$F$2)</f>
        <v>3</v>
      </c>
      <c r="D21" s="4" t="str">
        <f>GANADOR_MARCADOR_POLLA('Pollas Semifinal'!F21,'Pollas Semifinal'!$F$2,'Pollas Semifinal'!G21,'Pollas Semifinal'!$G$2)</f>
        <v>EMPATE</v>
      </c>
      <c r="E21" s="4">
        <f>PUNTAJE_GANADORES('Pollas Semifinal'!F21,'Resultados SemiFinal Oficiales'!$C$3,'Pollas Semifinal'!G21,'Resultados SemiFinal Oficiales'!$D$3,D21,'Resultados SemiFinal Oficiales'!$F$3)</f>
        <v>1</v>
      </c>
      <c r="F21" s="4">
        <f t="shared" si="1"/>
        <v>4</v>
      </c>
    </row>
    <row r="22">
      <c r="A22" s="3" t="str">
        <f>'Pollas Semifinal'!C22</f>
        <v>Alex Garcia</v>
      </c>
      <c r="B22" s="4" t="str">
        <f>GANADOR_MARCADOR_POLLA('Pollas Semifinal'!D22,'Pollas Semifinal'!$D$2,'Pollas Semifinal'!E22,'Pollas Semifinal'!$E$2)</f>
        <v>Croacia</v>
      </c>
      <c r="C22" s="4">
        <f>PUNTAJE_GANADORES('Pollas Semifinal'!D22,'Resultados SemiFinal Oficiales'!$C$2,'Pollas Semifinal'!E22,'Resultados SemiFinal Oficiales'!$D$2,B22,'Resultados SemiFinal Oficiales'!$F$2)</f>
        <v>0</v>
      </c>
      <c r="D22" s="4" t="str">
        <f>GANADOR_MARCADOR_POLLA('Pollas Semifinal'!F22,'Pollas Semifinal'!$F$2,'Pollas Semifinal'!G22,'Pollas Semifinal'!$G$2)</f>
        <v>Francia</v>
      </c>
      <c r="E22" s="4">
        <f>PUNTAJE_GANADORES('Pollas Semifinal'!F22,'Resultados SemiFinal Oficiales'!$C$3,'Pollas Semifinal'!G22,'Resultados SemiFinal Oficiales'!$D$3,D22,'Resultados SemiFinal Oficiales'!$F$3)</f>
        <v>2</v>
      </c>
      <c r="F22" s="4">
        <f t="shared" si="1"/>
        <v>2</v>
      </c>
    </row>
    <row r="23">
      <c r="A23" s="3" t="str">
        <f>'Pollas Semifinal'!C23</f>
        <v>Club Atletico Vodka Juniors</v>
      </c>
      <c r="B23" s="4" t="str">
        <f>GANADOR_MARCADOR_POLLA('Pollas Semifinal'!D23,'Pollas Semifinal'!$D$2,'Pollas Semifinal'!E23,'Pollas Semifinal'!$E$2)</f>
        <v>Argentina</v>
      </c>
      <c r="C23" s="4">
        <f>PUNTAJE_GANADORES('Pollas Semifinal'!D23,'Resultados SemiFinal Oficiales'!$C$2,'Pollas Semifinal'!E23,'Resultados SemiFinal Oficiales'!$D$2,B23,'Resultados SemiFinal Oficiales'!$F$2)</f>
        <v>2</v>
      </c>
      <c r="D23" s="4" t="str">
        <f>GANADOR_MARCADOR_POLLA('Pollas Semifinal'!F23,'Pollas Semifinal'!$F$2,'Pollas Semifinal'!G23,'Pollas Semifinal'!$G$2)</f>
        <v>Francia</v>
      </c>
      <c r="E23" s="4">
        <f>PUNTAJE_GANADORES('Pollas Semifinal'!F23,'Resultados SemiFinal Oficiales'!$C$3,'Pollas Semifinal'!G23,'Resultados SemiFinal Oficiales'!$D$3,D23,'Resultados SemiFinal Oficiales'!$F$3)</f>
        <v>3</v>
      </c>
      <c r="F23" s="4">
        <f t="shared" si="1"/>
        <v>5</v>
      </c>
    </row>
    <row r="24">
      <c r="A24" s="3" t="str">
        <f>'Pollas Semifinal'!C24</f>
        <v>Juan Esteban Montoya Hincapie</v>
      </c>
      <c r="B24" s="4" t="str">
        <f>GANADOR_MARCADOR_POLLA('Pollas Semifinal'!D24,'Pollas Semifinal'!$D$2,'Pollas Semifinal'!E24,'Pollas Semifinal'!$E$2)</f>
        <v>Argentina</v>
      </c>
      <c r="C24" s="4">
        <f>PUNTAJE_GANADORES('Pollas Semifinal'!D24,'Resultados SemiFinal Oficiales'!$C$2,'Pollas Semifinal'!E24,'Resultados SemiFinal Oficiales'!$D$2,B24,'Resultados SemiFinal Oficiales'!$F$2)</f>
        <v>3</v>
      </c>
      <c r="D24" s="4" t="str">
        <f>GANADOR_MARCADOR_POLLA('Pollas Semifinal'!F24,'Pollas Semifinal'!$F$2,'Pollas Semifinal'!G24,'Pollas Semifinal'!$G$2)</f>
        <v>Marruecos</v>
      </c>
      <c r="E24" s="4">
        <f>PUNTAJE_GANADORES('Pollas Semifinal'!F24,'Resultados SemiFinal Oficiales'!$C$3,'Pollas Semifinal'!G24,'Resultados SemiFinal Oficiales'!$D$3,D24,'Resultados SemiFinal Oficiales'!$F$3)</f>
        <v>0</v>
      </c>
      <c r="F24" s="4">
        <f t="shared" si="1"/>
        <v>3</v>
      </c>
    </row>
    <row r="25">
      <c r="A25" s="3" t="str">
        <f>'Pollas Semifinal'!C33</f>
        <v>Safiro y Acero</v>
      </c>
      <c r="B25" s="4" t="str">
        <f>GANADOR_MARCADOR_POLLA('Pollas Semifinal'!D25,'Pollas Semifinal'!$D$2,'Pollas Semifinal'!E25,'Pollas Semifinal'!$E$2)</f>
        <v>Argentina</v>
      </c>
      <c r="C25" s="4">
        <f>PUNTAJE_GANADORES('Pollas Semifinal'!D33,'Resultados SemiFinal Oficiales'!$C$2,'Pollas Semifinal'!E33,'Resultados SemiFinal Oficiales'!$D$2,B25,'Resultados SemiFinal Oficiales'!$F$2)</f>
        <v>2</v>
      </c>
      <c r="D25" s="4" t="str">
        <f>GANADOR_MARCADOR_POLLA('Pollas Semifinal'!F33,'Pollas Semifinal'!$F$2,'Pollas Semifinal'!G33,'Pollas Semifinal'!$G$2)</f>
        <v>Francia</v>
      </c>
      <c r="E25" s="4">
        <f>PUNTAJE_GANADORES('Pollas Semifinal'!F33,'Resultados SemiFinal Oficiales'!$C$3,'Pollas Semifinal'!G33,'Resultados SemiFinal Oficiales'!$D$3,D25,'Resultados SemiFinal Oficiales'!$F$3)</f>
        <v>3</v>
      </c>
      <c r="F25" s="4">
        <f t="shared" si="1"/>
        <v>5</v>
      </c>
    </row>
    <row r="26">
      <c r="A26" s="3" t="str">
        <f>'Pollas Semifinal'!C26</f>
        <v>John Jaramillo-Diogenes Restrepo</v>
      </c>
      <c r="B26" s="4" t="str">
        <f>GANADOR_MARCADOR_POLLA('Pollas Semifinal'!D26,'Pollas Semifinal'!$D$2,'Pollas Semifinal'!E26,'Pollas Semifinal'!$E$2)</f>
        <v>Argentina</v>
      </c>
      <c r="C26" s="4">
        <f>PUNTAJE_GANADORES('Pollas Semifinal'!D26,'Resultados SemiFinal Oficiales'!$C$2,'Pollas Semifinal'!E26,'Resultados SemiFinal Oficiales'!$D$2,B26,'Resultados SemiFinal Oficiales'!$F$2)</f>
        <v>3</v>
      </c>
      <c r="D26" s="4" t="str">
        <f>GANADOR_MARCADOR_POLLA('Pollas Semifinal'!F26,'Pollas Semifinal'!$F$2,'Pollas Semifinal'!G26,'Pollas Semifinal'!$G$2)</f>
        <v>Marruecos</v>
      </c>
      <c r="E26" s="4">
        <f>PUNTAJE_GANADORES('Pollas Semifinal'!F26,'Resultados SemiFinal Oficiales'!$C$3,'Pollas Semifinal'!G26,'Resultados SemiFinal Oficiales'!$D$3,D26,'Resultados SemiFinal Oficiales'!$F$3)</f>
        <v>0</v>
      </c>
      <c r="F26" s="4">
        <f t="shared" si="1"/>
        <v>3</v>
      </c>
    </row>
    <row r="27">
      <c r="A27" s="3" t="str">
        <f>'Pollas Semifinal'!C27</f>
        <v>Luchismo</v>
      </c>
      <c r="B27" s="4" t="str">
        <f>GANADOR_MARCADOR_POLLA('Pollas Semifinal'!D27,'Pollas Semifinal'!$D$2,'Pollas Semifinal'!E27,'Pollas Semifinal'!$E$2)</f>
        <v>EMPATE</v>
      </c>
      <c r="C27" s="4">
        <f>PUNTAJE_GANADORES('Pollas Semifinal'!D27,'Resultados SemiFinal Oficiales'!$C$2,'Pollas Semifinal'!E27,'Resultados SemiFinal Oficiales'!$D$2,B27,'Resultados SemiFinal Oficiales'!$F$2)</f>
        <v>0</v>
      </c>
      <c r="D27" s="4" t="str">
        <f>GANADOR_MARCADOR_POLLA('Pollas Semifinal'!F27,'Pollas Semifinal'!$F$2,'Pollas Semifinal'!G27,'Pollas Semifinal'!$G$2)</f>
        <v>Marruecos</v>
      </c>
      <c r="E27" s="4">
        <f>PUNTAJE_GANADORES('Pollas Semifinal'!F27,'Resultados SemiFinal Oficiales'!$C$3,'Pollas Semifinal'!G27,'Resultados SemiFinal Oficiales'!$D$3,D27,'Resultados SemiFinal Oficiales'!$F$3)</f>
        <v>0</v>
      </c>
      <c r="F27" s="4">
        <f t="shared" si="1"/>
        <v>0</v>
      </c>
    </row>
    <row r="28">
      <c r="A28" s="3" t="str">
        <f>'Pollas Semifinal'!C28</f>
        <v>Cristina Valentina Echeverri- Las fieras</v>
      </c>
      <c r="B28" s="4" t="str">
        <f>GANADOR_MARCADOR_POLLA('Pollas Semifinal'!D28,'Pollas Semifinal'!$D$2,'Pollas Semifinal'!E28,'Pollas Semifinal'!$E$2)</f>
        <v>Croacia</v>
      </c>
      <c r="C28" s="4">
        <f>PUNTAJE_GANADORES('Pollas Semifinal'!D28,'Resultados SemiFinal Oficiales'!$C$2,'Pollas Semifinal'!E28,'Resultados SemiFinal Oficiales'!$D$2,B28,'Resultados SemiFinal Oficiales'!$F$2)</f>
        <v>0</v>
      </c>
      <c r="D28" s="4" t="str">
        <f>GANADOR_MARCADOR_POLLA('Pollas Semifinal'!F28,'Pollas Semifinal'!$F$2,'Pollas Semifinal'!G28,'Pollas Semifinal'!$G$2)</f>
        <v>Francia</v>
      </c>
      <c r="E28" s="4">
        <f>PUNTAJE_GANADORES('Pollas Semifinal'!F28,'Resultados SemiFinal Oficiales'!$C$3,'Pollas Semifinal'!G28,'Resultados SemiFinal Oficiales'!$D$3,D28,'Resultados SemiFinal Oficiales'!$F$3)</f>
        <v>3</v>
      </c>
      <c r="F28" s="4">
        <f t="shared" si="1"/>
        <v>3</v>
      </c>
    </row>
    <row r="29">
      <c r="A29" s="3" t="str">
        <f>'Pollas Semifinal'!C29</f>
        <v>La Perripolla</v>
      </c>
      <c r="B29" s="4" t="str">
        <f>GANADOR_MARCADOR_POLLA('Pollas Semifinal'!D29,'Pollas Semifinal'!$D$2,'Pollas Semifinal'!E29,'Pollas Semifinal'!$E$2)</f>
        <v>EMPATE</v>
      </c>
      <c r="C29" s="4">
        <f>PUNTAJE_GANADORES('Pollas Semifinal'!D29,'Resultados SemiFinal Oficiales'!$C$2,'Pollas Semifinal'!E29,'Resultados SemiFinal Oficiales'!$D$2,B29,'Resultados SemiFinal Oficiales'!$F$2)</f>
        <v>0</v>
      </c>
      <c r="D29" s="4" t="str">
        <f>GANADOR_MARCADOR_POLLA('Pollas Semifinal'!F29,'Pollas Semifinal'!$F$2,'Pollas Semifinal'!G29,'Pollas Semifinal'!$G$2)</f>
        <v>Francia</v>
      </c>
      <c r="E29" s="4">
        <f>PUNTAJE_GANADORES('Pollas Semifinal'!F29,'Resultados SemiFinal Oficiales'!$C$3,'Pollas Semifinal'!G29,'Resultados SemiFinal Oficiales'!$D$3,D29,'Resultados SemiFinal Oficiales'!$F$3)</f>
        <v>3</v>
      </c>
      <c r="F29" s="4">
        <f t="shared" si="1"/>
        <v>3</v>
      </c>
    </row>
    <row r="30">
      <c r="A30" s="3" t="str">
        <f>'Pollas Semifinal'!C30</f>
        <v>Ana Maria Corpas</v>
      </c>
      <c r="B30" s="4" t="str">
        <f>GANADOR_MARCADOR_POLLA('Pollas Semifinal'!D30,'Pollas Semifinal'!$D$2,'Pollas Semifinal'!E30,'Pollas Semifinal'!$E$2)</f>
        <v>Croacia</v>
      </c>
      <c r="C30" s="4">
        <f>PUNTAJE_GANADORES('Pollas Semifinal'!D30,'Resultados SemiFinal Oficiales'!$C$2,'Pollas Semifinal'!E30,'Resultados SemiFinal Oficiales'!$D$2,B30,'Resultados SemiFinal Oficiales'!$F$2)</f>
        <v>0</v>
      </c>
      <c r="D30" s="4" t="str">
        <f>GANADOR_MARCADOR_POLLA('Pollas Semifinal'!F30,'Pollas Semifinal'!$F$2,'Pollas Semifinal'!G30,'Pollas Semifinal'!$G$2)</f>
        <v>Francia</v>
      </c>
      <c r="E30" s="4">
        <f>PUNTAJE_GANADORES('Pollas Semifinal'!F30,'Resultados SemiFinal Oficiales'!$C$3,'Pollas Semifinal'!G30,'Resultados SemiFinal Oficiales'!$D$3,D30,'Resultados SemiFinal Oficiales'!$F$3)</f>
        <v>3</v>
      </c>
      <c r="F30" s="4">
        <f t="shared" si="1"/>
        <v>3</v>
      </c>
    </row>
    <row r="31">
      <c r="A31" s="3" t="str">
        <f>'Pollas Semifinal'!C39</f>
        <v>Guanabano Indigente</v>
      </c>
      <c r="B31" s="4" t="str">
        <f>GANADOR_MARCADOR_POLLA('Pollas Semifinal'!D31,'Pollas Semifinal'!$D$2,'Pollas Semifinal'!E31,'Pollas Semifinal'!$E$2)</f>
        <v>Argentina</v>
      </c>
      <c r="C31" s="4">
        <f>PUNTAJE_GANADORES('Pollas Semifinal'!D31,'Resultados SemiFinal Oficiales'!$C$2,'Pollas Semifinal'!E31,'Resultados SemiFinal Oficiales'!$D$2,B31,'Resultados SemiFinal Oficiales'!$F$2)</f>
        <v>2</v>
      </c>
      <c r="D31" s="4" t="str">
        <f>GANADOR_MARCADOR_POLLA('Pollas Semifinal'!F31,'Pollas Semifinal'!$F$2,'Pollas Semifinal'!G31,'Pollas Semifinal'!$G$2)</f>
        <v>Francia</v>
      </c>
      <c r="E31" s="4">
        <f>PUNTAJE_GANADORES('Pollas Semifinal'!F31,'Resultados SemiFinal Oficiales'!$C$3,'Pollas Semifinal'!G31,'Resultados SemiFinal Oficiales'!$D$3,D31,'Resultados SemiFinal Oficiales'!$F$3)</f>
        <v>3</v>
      </c>
      <c r="F31" s="4">
        <f t="shared" si="1"/>
        <v>5</v>
      </c>
    </row>
    <row r="32">
      <c r="A32" s="3" t="str">
        <f>'Pollas Semifinal'!C32</f>
        <v/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211</v>
      </c>
      <c r="B1" s="17" t="s">
        <v>212</v>
      </c>
      <c r="C1" s="17" t="s">
        <v>213</v>
      </c>
      <c r="D1" s="17" t="s">
        <v>213</v>
      </c>
      <c r="E1" s="17" t="s">
        <v>212</v>
      </c>
      <c r="F1" s="17" t="s">
        <v>208</v>
      </c>
    </row>
    <row r="2">
      <c r="A2" s="42">
        <v>44912.0</v>
      </c>
      <c r="B2" s="43" t="s">
        <v>13</v>
      </c>
      <c r="C2" s="43">
        <v>2.0</v>
      </c>
      <c r="D2" s="43">
        <v>1.0</v>
      </c>
      <c r="E2" s="43" t="s">
        <v>14</v>
      </c>
      <c r="F2" s="44" t="str">
        <f t="shared" ref="F2:F3" si="1">GANADOR_REAL(B2,C2,E2,D2)</f>
        <v>Croacia</v>
      </c>
    </row>
    <row r="3">
      <c r="A3" s="45">
        <v>44913.0</v>
      </c>
      <c r="B3" s="17" t="s">
        <v>11</v>
      </c>
      <c r="C3" s="17">
        <v>2.0</v>
      </c>
      <c r="D3" s="17">
        <v>2.0</v>
      </c>
      <c r="E3" s="17" t="s">
        <v>12</v>
      </c>
      <c r="F3" s="4" t="str">
        <f t="shared" si="1"/>
        <v>EMPATE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211</v>
      </c>
      <c r="B1" s="17" t="s">
        <v>212</v>
      </c>
      <c r="C1" s="17" t="s">
        <v>213</v>
      </c>
      <c r="D1" s="17" t="s">
        <v>213</v>
      </c>
      <c r="E1" s="17" t="s">
        <v>212</v>
      </c>
      <c r="F1" s="17" t="s">
        <v>208</v>
      </c>
    </row>
    <row r="2">
      <c r="A2" s="46">
        <v>44908.0</v>
      </c>
      <c r="B2" s="47" t="s">
        <v>11</v>
      </c>
      <c r="C2" s="47">
        <v>3.0</v>
      </c>
      <c r="D2" s="47">
        <v>0.0</v>
      </c>
      <c r="E2" s="47" t="s">
        <v>13</v>
      </c>
      <c r="F2" s="48" t="str">
        <f t="shared" ref="F2:F3" si="1">GANADOR_REAL(B2,C2,E2,D2)</f>
        <v>Argentina</v>
      </c>
    </row>
    <row r="3">
      <c r="A3" s="42">
        <v>44909.0</v>
      </c>
      <c r="B3" s="43" t="s">
        <v>12</v>
      </c>
      <c r="C3" s="43">
        <v>2.0</v>
      </c>
      <c r="D3" s="43">
        <v>0.0</v>
      </c>
      <c r="E3" s="43" t="s">
        <v>14</v>
      </c>
      <c r="F3" s="44" t="str">
        <f t="shared" si="1"/>
        <v>Francia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211</v>
      </c>
      <c r="B1" s="17" t="s">
        <v>212</v>
      </c>
      <c r="C1" s="17" t="s">
        <v>213</v>
      </c>
      <c r="D1" s="17" t="s">
        <v>213</v>
      </c>
      <c r="E1" s="17" t="s">
        <v>212</v>
      </c>
      <c r="F1" s="17" t="s">
        <v>208</v>
      </c>
    </row>
    <row r="2">
      <c r="A2" s="45">
        <v>44904.0</v>
      </c>
      <c r="B2" s="49" t="s">
        <v>13</v>
      </c>
      <c r="C2" s="49">
        <v>0.0</v>
      </c>
      <c r="D2" s="49">
        <v>0.0</v>
      </c>
      <c r="E2" s="49" t="s">
        <v>93</v>
      </c>
      <c r="F2" s="50" t="str">
        <f t="shared" ref="F2:F5" si="1">GANADOR_REAL(B2,C2,E2,D2)</f>
        <v>EMPATE</v>
      </c>
    </row>
    <row r="3">
      <c r="A3" s="45">
        <v>44904.0</v>
      </c>
      <c r="B3" s="49" t="s">
        <v>11</v>
      </c>
      <c r="C3" s="49">
        <v>2.0</v>
      </c>
      <c r="D3" s="49">
        <v>2.0</v>
      </c>
      <c r="E3" s="49" t="s">
        <v>94</v>
      </c>
      <c r="F3" s="50" t="str">
        <f t="shared" si="1"/>
        <v>EMPATE</v>
      </c>
    </row>
    <row r="4">
      <c r="A4" s="51">
        <v>44905.0</v>
      </c>
      <c r="B4" s="52" t="s">
        <v>14</v>
      </c>
      <c r="C4" s="52">
        <v>1.0</v>
      </c>
      <c r="D4" s="52">
        <v>0.0</v>
      </c>
      <c r="E4" s="52" t="s">
        <v>95</v>
      </c>
      <c r="F4" s="53" t="str">
        <f t="shared" si="1"/>
        <v>Marruecos</v>
      </c>
    </row>
    <row r="5">
      <c r="A5" s="51">
        <v>44905.0</v>
      </c>
      <c r="B5" s="52" t="s">
        <v>96</v>
      </c>
      <c r="C5" s="52">
        <v>1.0</v>
      </c>
      <c r="D5" s="52">
        <v>2.0</v>
      </c>
      <c r="E5" s="52" t="s">
        <v>12</v>
      </c>
      <c r="F5" s="53" t="str">
        <f t="shared" si="1"/>
        <v>Francia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211</v>
      </c>
      <c r="B1" s="17" t="s">
        <v>212</v>
      </c>
      <c r="C1" s="17" t="s">
        <v>213</v>
      </c>
      <c r="D1" s="17" t="s">
        <v>213</v>
      </c>
      <c r="E1" s="17" t="s">
        <v>212</v>
      </c>
      <c r="F1" s="17" t="s">
        <v>208</v>
      </c>
    </row>
    <row r="2">
      <c r="A2" s="54">
        <v>44898.0</v>
      </c>
      <c r="B2" s="47" t="s">
        <v>94</v>
      </c>
      <c r="C2" s="47">
        <v>3.0</v>
      </c>
      <c r="D2" s="47">
        <v>1.0</v>
      </c>
      <c r="E2" s="47" t="s">
        <v>107</v>
      </c>
      <c r="F2" s="48" t="str">
        <f t="shared" ref="F2:F9" si="1">GANADOR_REAL(B2,C2,E2,D2)</f>
        <v>Paises Bajos</v>
      </c>
    </row>
    <row r="3">
      <c r="A3" s="54">
        <v>44898.0</v>
      </c>
      <c r="B3" s="47" t="s">
        <v>11</v>
      </c>
      <c r="C3" s="47">
        <v>2.0</v>
      </c>
      <c r="D3" s="47">
        <v>1.0</v>
      </c>
      <c r="E3" s="47" t="s">
        <v>109</v>
      </c>
      <c r="F3" s="48" t="str">
        <f t="shared" si="1"/>
        <v>Argentina</v>
      </c>
    </row>
    <row r="4">
      <c r="A4" s="54">
        <v>44899.0</v>
      </c>
      <c r="B4" s="43" t="s">
        <v>12</v>
      </c>
      <c r="C4" s="43">
        <v>3.0</v>
      </c>
      <c r="D4" s="43">
        <v>1.0</v>
      </c>
      <c r="E4" s="43" t="s">
        <v>110</v>
      </c>
      <c r="F4" s="44" t="str">
        <f t="shared" si="1"/>
        <v>Francia</v>
      </c>
    </row>
    <row r="5">
      <c r="A5" s="54">
        <v>44899.0</v>
      </c>
      <c r="B5" s="43" t="s">
        <v>96</v>
      </c>
      <c r="C5" s="43">
        <v>3.0</v>
      </c>
      <c r="D5" s="43">
        <v>0.0</v>
      </c>
      <c r="E5" s="43" t="s">
        <v>108</v>
      </c>
      <c r="F5" s="44" t="str">
        <f t="shared" si="1"/>
        <v>Inglaterra</v>
      </c>
    </row>
    <row r="6">
      <c r="A6" s="54">
        <v>44900.0</v>
      </c>
      <c r="B6" s="38" t="s">
        <v>111</v>
      </c>
      <c r="C6" s="38">
        <v>1.0</v>
      </c>
      <c r="D6" s="38">
        <v>1.0</v>
      </c>
      <c r="E6" s="38" t="s">
        <v>13</v>
      </c>
      <c r="F6" s="55" t="str">
        <f t="shared" si="1"/>
        <v>EMPATE</v>
      </c>
    </row>
    <row r="7">
      <c r="A7" s="54">
        <v>44900.0</v>
      </c>
      <c r="B7" s="38" t="s">
        <v>93</v>
      </c>
      <c r="C7" s="38">
        <v>4.0</v>
      </c>
      <c r="D7" s="38">
        <v>1.0</v>
      </c>
      <c r="E7" s="38" t="s">
        <v>113</v>
      </c>
      <c r="F7" s="55" t="str">
        <f t="shared" si="1"/>
        <v>Brasil</v>
      </c>
    </row>
    <row r="8">
      <c r="A8" s="54">
        <v>44901.0</v>
      </c>
      <c r="B8" s="49" t="s">
        <v>14</v>
      </c>
      <c r="C8" s="49">
        <v>0.0</v>
      </c>
      <c r="D8" s="49">
        <v>0.0</v>
      </c>
      <c r="E8" s="49" t="s">
        <v>112</v>
      </c>
      <c r="F8" s="50" t="str">
        <f t="shared" si="1"/>
        <v>EMPATE</v>
      </c>
    </row>
    <row r="9">
      <c r="A9" s="54">
        <v>44901.0</v>
      </c>
      <c r="B9" s="49" t="s">
        <v>95</v>
      </c>
      <c r="C9" s="49">
        <v>6.0</v>
      </c>
      <c r="D9" s="49">
        <v>1.0</v>
      </c>
      <c r="E9" s="49" t="s">
        <v>114</v>
      </c>
      <c r="F9" s="50" t="str">
        <f t="shared" si="1"/>
        <v>Portugal</v>
      </c>
    </row>
    <row r="10">
      <c r="A10" s="4"/>
      <c r="B10" s="4"/>
      <c r="C10" s="4"/>
      <c r="D10" s="4"/>
      <c r="E10" s="4"/>
      <c r="F10" s="4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5" width="7.25"/>
    <col customWidth="1" min="7" max="7" width="10.13"/>
    <col customWidth="1" min="9" max="9" width="5.25"/>
    <col customWidth="1" min="11" max="11" width="6.13"/>
    <col customWidth="1" min="12" max="18" width="5.25"/>
  </cols>
  <sheetData>
    <row r="2">
      <c r="B2" s="17" t="s">
        <v>211</v>
      </c>
      <c r="D2" s="10" t="s">
        <v>213</v>
      </c>
      <c r="E2" s="10" t="s">
        <v>213</v>
      </c>
      <c r="G2" s="10" t="s">
        <v>214</v>
      </c>
      <c r="K2" s="10"/>
    </row>
    <row r="3">
      <c r="A3" s="56" t="s">
        <v>215</v>
      </c>
      <c r="B3" s="57">
        <v>44885.0</v>
      </c>
      <c r="C3" s="58" t="s">
        <v>169</v>
      </c>
      <c r="D3" s="58">
        <v>0.0</v>
      </c>
      <c r="E3" s="59">
        <v>2.0</v>
      </c>
      <c r="F3" s="58" t="s">
        <v>170</v>
      </c>
      <c r="G3" s="60" t="str">
        <f t="shared" ref="G3:G8" si="1">GANADOR_REAL(C3,D3,F3,E3)</f>
        <v>Ecuador</v>
      </c>
      <c r="I3" s="17" t="s">
        <v>216</v>
      </c>
    </row>
    <row r="4">
      <c r="B4" s="57">
        <v>44886.0</v>
      </c>
      <c r="C4" s="58" t="s">
        <v>108</v>
      </c>
      <c r="D4" s="58">
        <v>0.0</v>
      </c>
      <c r="E4" s="58">
        <v>2.0</v>
      </c>
      <c r="F4" s="58" t="s">
        <v>94</v>
      </c>
      <c r="G4" s="60" t="str">
        <f t="shared" si="1"/>
        <v>Paises Bajos</v>
      </c>
      <c r="I4" s="10" t="s">
        <v>217</v>
      </c>
      <c r="J4" s="10" t="s">
        <v>218</v>
      </c>
      <c r="K4" s="17" t="s">
        <v>219</v>
      </c>
      <c r="L4" s="17" t="s">
        <v>220</v>
      </c>
      <c r="M4" s="17" t="s">
        <v>221</v>
      </c>
      <c r="N4" s="17" t="s">
        <v>222</v>
      </c>
      <c r="O4" s="17" t="s">
        <v>223</v>
      </c>
      <c r="P4" s="17" t="s">
        <v>224</v>
      </c>
      <c r="Q4" s="17" t="s">
        <v>225</v>
      </c>
      <c r="R4" s="17" t="s">
        <v>226</v>
      </c>
    </row>
    <row r="5">
      <c r="B5" s="61">
        <v>44890.0</v>
      </c>
      <c r="C5" s="62" t="s">
        <v>169</v>
      </c>
      <c r="D5" s="62">
        <v>1.0</v>
      </c>
      <c r="E5" s="62">
        <v>3.0</v>
      </c>
      <c r="F5" s="62" t="s">
        <v>108</v>
      </c>
      <c r="G5" s="63" t="str">
        <f t="shared" si="1"/>
        <v>Senegal</v>
      </c>
      <c r="I5" s="17">
        <v>1.0</v>
      </c>
      <c r="J5" s="10" t="s">
        <v>170</v>
      </c>
      <c r="K5" s="3">
        <f>PUNTAJE(E3,D3,E6,D6,D8,E8)</f>
        <v>4</v>
      </c>
      <c r="L5" s="3">
        <f>JUGADOS(E3,E6,D8)</f>
        <v>3</v>
      </c>
      <c r="M5" s="3">
        <f>PARTIDOS_GANADOS(E3,D3,E6,D6,D8,E8)</f>
        <v>1</v>
      </c>
      <c r="N5" s="3">
        <f>PARTIDOS_EMPATADOS(E3,D3,E6,D6,D8,E8)</f>
        <v>1</v>
      </c>
      <c r="O5" s="3">
        <f>PARTIDOS_PERDIDOS(E3,D3,E6,D6,D8,E8)</f>
        <v>1</v>
      </c>
      <c r="P5" s="64">
        <f>GOLES_FAVOR(E3,E6,D8)</f>
        <v>4</v>
      </c>
      <c r="Q5" s="3">
        <f>GOLES_CONTRA(D3,D6,E8)</f>
        <v>3</v>
      </c>
      <c r="R5" s="64">
        <f t="shared" ref="R5:R8" si="2">P5-Q5</f>
        <v>1</v>
      </c>
    </row>
    <row r="6">
      <c r="B6" s="61">
        <v>44890.0</v>
      </c>
      <c r="C6" s="62" t="s">
        <v>94</v>
      </c>
      <c r="D6" s="62">
        <v>1.0</v>
      </c>
      <c r="E6" s="62">
        <v>1.0</v>
      </c>
      <c r="F6" s="62" t="s">
        <v>170</v>
      </c>
      <c r="G6" s="63" t="str">
        <f t="shared" si="1"/>
        <v>EMPATE</v>
      </c>
      <c r="I6" s="17">
        <v>2.0</v>
      </c>
      <c r="J6" s="10" t="s">
        <v>169</v>
      </c>
      <c r="K6" s="3">
        <f>PUNTAJE(D3,E3,D5,E5,E7,D7)</f>
        <v>0</v>
      </c>
      <c r="L6" s="3">
        <f>JUGADOS(D3,D5,E7)</f>
        <v>3</v>
      </c>
      <c r="M6" s="3">
        <f>PARTIDOS_GANADOS(D3,E3,D5,E5,E7,D7)</f>
        <v>0</v>
      </c>
      <c r="N6" s="3">
        <f>PARTIDOS_EMPATADOS(D3,E3,D5,E5,E7,D7)</f>
        <v>0</v>
      </c>
      <c r="O6" s="3">
        <f>PARTIDOS_PERDIDOS(D3,E3,D5,E5,E7,D7)</f>
        <v>3</v>
      </c>
      <c r="P6" s="3">
        <f>$D$3+$D$5+$E$7</f>
        <v>1</v>
      </c>
      <c r="Q6" s="64">
        <f>$E$3+$E$5+$D$7</f>
        <v>7</v>
      </c>
      <c r="R6" s="64">
        <f t="shared" si="2"/>
        <v>-6</v>
      </c>
    </row>
    <row r="7">
      <c r="B7" s="65">
        <v>44894.0</v>
      </c>
      <c r="C7" s="25" t="s">
        <v>94</v>
      </c>
      <c r="D7" s="25">
        <v>2.0</v>
      </c>
      <c r="E7" s="25">
        <v>0.0</v>
      </c>
      <c r="F7" s="25" t="s">
        <v>169</v>
      </c>
      <c r="G7" s="66" t="str">
        <f t="shared" si="1"/>
        <v>Paises Bajos</v>
      </c>
      <c r="I7" s="17">
        <v>3.0</v>
      </c>
      <c r="J7" s="10" t="s">
        <v>94</v>
      </c>
      <c r="K7" s="3">
        <f>PUNTAJE(E4,D4,D6,E6,D7,E7)</f>
        <v>7</v>
      </c>
      <c r="L7" s="3">
        <f>JUGADOS(E4,D6,D7)</f>
        <v>3</v>
      </c>
      <c r="M7" s="3">
        <f>PARTIDOS_GANADOS(E4,D4,D6,E6,D7,E7)</f>
        <v>2</v>
      </c>
      <c r="N7" s="3">
        <f>PARTIDOS_EMPATADOS(E4,D4,D6,E6,D7,E7)</f>
        <v>1</v>
      </c>
      <c r="O7" s="3">
        <f>PARTIDOS_PERDIDOS(E4,D4,D6,E6,D7,E7)</f>
        <v>0</v>
      </c>
      <c r="P7" s="3">
        <f>$D$6+$D$7+$E$4</f>
        <v>5</v>
      </c>
      <c r="Q7" s="3">
        <f>$D$4+$E$6+$E$7</f>
        <v>1</v>
      </c>
      <c r="R7" s="3">
        <f t="shared" si="2"/>
        <v>4</v>
      </c>
    </row>
    <row r="8">
      <c r="B8" s="65">
        <v>44894.0</v>
      </c>
      <c r="C8" s="25" t="s">
        <v>170</v>
      </c>
      <c r="D8" s="25">
        <v>1.0</v>
      </c>
      <c r="E8" s="25">
        <v>2.0</v>
      </c>
      <c r="F8" s="25" t="s">
        <v>108</v>
      </c>
      <c r="G8" s="66" t="str">
        <f t="shared" si="1"/>
        <v>Senegal</v>
      </c>
      <c r="I8" s="17">
        <v>4.0</v>
      </c>
      <c r="J8" s="10" t="s">
        <v>108</v>
      </c>
      <c r="K8" s="3">
        <f>PUNTAJE(D4,E4,E5,D5,E8,D8)</f>
        <v>6</v>
      </c>
      <c r="L8" s="3">
        <f>JUGADOS(D4,E5,E8)</f>
        <v>3</v>
      </c>
      <c r="M8" s="67">
        <f>PARTIDOS_GANADOS(D4,E4,E5,D5,E8,D8)</f>
        <v>2</v>
      </c>
      <c r="N8" s="3">
        <f>PARTIDOS_EMPATADOS(D4,E4,E5,D5,E8,D8)</f>
        <v>0</v>
      </c>
      <c r="O8" s="3">
        <f>PARTIDOS_PERDIDOS(D4,E4,E5,D5,E8,D8)</f>
        <v>1</v>
      </c>
      <c r="P8" s="3">
        <f>$D$4+$E$8+$E$5</f>
        <v>5</v>
      </c>
      <c r="Q8" s="3">
        <f>$E$4+$D$5+$D$8</f>
        <v>4</v>
      </c>
      <c r="R8" s="3">
        <f t="shared" si="2"/>
        <v>1</v>
      </c>
    </row>
    <row r="11">
      <c r="A11" s="68" t="s">
        <v>227</v>
      </c>
      <c r="B11" s="57">
        <v>44886.0</v>
      </c>
      <c r="C11" s="58" t="s">
        <v>96</v>
      </c>
      <c r="D11" s="58">
        <v>6.0</v>
      </c>
      <c r="E11" s="58">
        <v>2.0</v>
      </c>
      <c r="F11" s="58" t="s">
        <v>171</v>
      </c>
      <c r="G11" s="60" t="str">
        <f t="shared" ref="G11:G16" si="3">GANADOR_REAL(C11,D11,F11,E11)</f>
        <v>Inglaterra</v>
      </c>
      <c r="I11" s="17" t="s">
        <v>228</v>
      </c>
    </row>
    <row r="12">
      <c r="B12" s="57">
        <v>44886.0</v>
      </c>
      <c r="C12" s="58" t="s">
        <v>107</v>
      </c>
      <c r="D12" s="58">
        <v>1.0</v>
      </c>
      <c r="E12" s="58">
        <v>1.0</v>
      </c>
      <c r="F12" s="58" t="s">
        <v>172</v>
      </c>
      <c r="G12" s="60" t="str">
        <f t="shared" si="3"/>
        <v>EMPATE</v>
      </c>
      <c r="I12" s="10" t="s">
        <v>217</v>
      </c>
      <c r="J12" s="10" t="s">
        <v>218</v>
      </c>
      <c r="K12" s="17" t="s">
        <v>219</v>
      </c>
      <c r="L12" s="17" t="s">
        <v>220</v>
      </c>
      <c r="M12" s="17" t="s">
        <v>221</v>
      </c>
      <c r="N12" s="17" t="s">
        <v>222</v>
      </c>
      <c r="O12" s="17" t="s">
        <v>223</v>
      </c>
      <c r="P12" s="17" t="s">
        <v>224</v>
      </c>
      <c r="Q12" s="17" t="s">
        <v>225</v>
      </c>
      <c r="R12" s="17" t="s">
        <v>226</v>
      </c>
    </row>
    <row r="13">
      <c r="B13" s="61">
        <v>44890.0</v>
      </c>
      <c r="C13" s="62" t="s">
        <v>96</v>
      </c>
      <c r="D13" s="62">
        <v>0.0</v>
      </c>
      <c r="E13" s="62">
        <v>0.0</v>
      </c>
      <c r="F13" s="62" t="s">
        <v>107</v>
      </c>
      <c r="G13" s="63" t="str">
        <f t="shared" si="3"/>
        <v>EMPATE</v>
      </c>
      <c r="I13" s="17">
        <v>1.0</v>
      </c>
      <c r="J13" s="10" t="s">
        <v>96</v>
      </c>
      <c r="K13" s="3">
        <f>PUNTAJE(D11,E11,D13,E13,E15,D15)</f>
        <v>7</v>
      </c>
      <c r="L13" s="3">
        <f>JUGADOS(D11,D13,E15)</f>
        <v>3</v>
      </c>
      <c r="M13" s="3">
        <f>PARTIDOS_GANADOS(D11,E11,D13,E13,E15,D15)</f>
        <v>2</v>
      </c>
      <c r="N13" s="3">
        <f>PARTIDOS_EMPATADOS(D11,E11,D13,E13,E15,D15)</f>
        <v>1</v>
      </c>
      <c r="O13" s="3">
        <f>PARTIDOS_PERDIDOS(D11,E11,D13,E13,E15,D15)</f>
        <v>0</v>
      </c>
      <c r="P13" s="3">
        <f>D11+D13+E15</f>
        <v>9</v>
      </c>
      <c r="Q13" s="3">
        <f>E11+E13+D15</f>
        <v>2</v>
      </c>
      <c r="R13" s="3">
        <f t="shared" ref="R13:R16" si="4">P13-Q13</f>
        <v>7</v>
      </c>
    </row>
    <row r="14">
      <c r="B14" s="61">
        <v>44890.0</v>
      </c>
      <c r="C14" s="62" t="s">
        <v>172</v>
      </c>
      <c r="D14" s="62">
        <v>0.0</v>
      </c>
      <c r="E14" s="62">
        <v>2.0</v>
      </c>
      <c r="F14" s="62" t="s">
        <v>171</v>
      </c>
      <c r="G14" s="63" t="str">
        <f t="shared" si="3"/>
        <v>Iran</v>
      </c>
      <c r="I14" s="17">
        <v>2.0</v>
      </c>
      <c r="J14" s="10" t="s">
        <v>171</v>
      </c>
      <c r="K14" s="3">
        <f>PUNTAJE(E11,D11,E14,D14,D16,E16)</f>
        <v>3</v>
      </c>
      <c r="L14" s="3">
        <f>JUGADOS(E11,E14,D16)</f>
        <v>3</v>
      </c>
      <c r="M14" s="3">
        <f>PARTIDOS_GANADOS(E11,D11,E14,D14,D16,E16)</f>
        <v>1</v>
      </c>
      <c r="N14" s="3">
        <f>PARTIDOS_EMPATADOS(E11,D11,E14,D14,D16,E16)</f>
        <v>0</v>
      </c>
      <c r="O14" s="3">
        <f>PARTIDOS_PERDIDOS(E11,D11,E14,D14,D16,E16)</f>
        <v>2</v>
      </c>
      <c r="P14" s="69">
        <f>E11+E14+D16</f>
        <v>4</v>
      </c>
      <c r="Q14" s="69">
        <f>D11+D14+E16</f>
        <v>7</v>
      </c>
      <c r="R14" s="69">
        <f t="shared" si="4"/>
        <v>-3</v>
      </c>
    </row>
    <row r="15">
      <c r="B15" s="65">
        <v>44894.0</v>
      </c>
      <c r="C15" s="25" t="s">
        <v>172</v>
      </c>
      <c r="D15" s="25">
        <v>0.0</v>
      </c>
      <c r="E15" s="25">
        <v>3.0</v>
      </c>
      <c r="F15" s="25" t="s">
        <v>96</v>
      </c>
      <c r="G15" s="66" t="str">
        <f t="shared" si="3"/>
        <v>Inglaterra</v>
      </c>
      <c r="I15" s="17">
        <v>3.0</v>
      </c>
      <c r="J15" s="10" t="s">
        <v>107</v>
      </c>
      <c r="K15" s="3">
        <f>PUNTAJE(D12,E12,E13,D13,E16,D16)</f>
        <v>5</v>
      </c>
      <c r="L15" s="3">
        <f>JUGADOS(D12,E13,E16)</f>
        <v>3</v>
      </c>
      <c r="M15" s="3">
        <f>PARTIDOS_GANADOS(D12,E12,E13,D13,E16,D16)</f>
        <v>1</v>
      </c>
      <c r="N15" s="3">
        <f>PARTIDOS_EMPATADOS(D12,E12,E13,D13,E16,D16)</f>
        <v>2</v>
      </c>
      <c r="O15" s="3">
        <f>PARTIDOS_PERDIDOS(D12,E12,E13,D13,E16,D16)</f>
        <v>0</v>
      </c>
      <c r="P15" s="69">
        <f>E13+D12+E16</f>
        <v>2</v>
      </c>
      <c r="Q15" s="69">
        <f>E12+D13+D16</f>
        <v>1</v>
      </c>
      <c r="R15" s="69">
        <f t="shared" si="4"/>
        <v>1</v>
      </c>
    </row>
    <row r="16">
      <c r="B16" s="65">
        <v>44894.0</v>
      </c>
      <c r="C16" s="70" t="s">
        <v>229</v>
      </c>
      <c r="D16" s="71">
        <v>0.0</v>
      </c>
      <c r="E16" s="71">
        <v>1.0</v>
      </c>
      <c r="F16" s="25" t="s">
        <v>107</v>
      </c>
      <c r="G16" s="66" t="str">
        <f t="shared" si="3"/>
        <v>Estados Unidos</v>
      </c>
      <c r="I16" s="17">
        <v>4.0</v>
      </c>
      <c r="J16" s="10" t="s">
        <v>172</v>
      </c>
      <c r="K16" s="3">
        <f>PUNTAJE(E12,D12,D14,E14,D15,E15)</f>
        <v>1</v>
      </c>
      <c r="L16" s="3">
        <f>JUGADOS(E12,D14,D15)</f>
        <v>3</v>
      </c>
      <c r="M16" s="3">
        <f>PARTIDOS_GANADOS(E12,D12,D14,E14,D15,E15)</f>
        <v>0</v>
      </c>
      <c r="N16" s="3">
        <f>PARTIDOS_EMPATADOS(E12,D12,D14,E14,D15,E15)</f>
        <v>1</v>
      </c>
      <c r="O16" s="3">
        <f>PARTIDOS_PERDIDOS(E12,D12,D14,E14,D15,E15)</f>
        <v>2</v>
      </c>
      <c r="P16" s="3">
        <f>E12+D14+D15</f>
        <v>1</v>
      </c>
      <c r="Q16" s="3">
        <f>D12+E14+E15</f>
        <v>6</v>
      </c>
      <c r="R16" s="3">
        <f t="shared" si="4"/>
        <v>-5</v>
      </c>
    </row>
    <row r="19">
      <c r="A19" s="72" t="s">
        <v>230</v>
      </c>
      <c r="B19" s="57">
        <v>44887.0</v>
      </c>
      <c r="C19" s="58" t="s">
        <v>11</v>
      </c>
      <c r="D19" s="58">
        <v>1.0</v>
      </c>
      <c r="E19" s="58">
        <v>2.0</v>
      </c>
      <c r="F19" s="58" t="s">
        <v>173</v>
      </c>
      <c r="G19" s="60" t="str">
        <f t="shared" ref="G19:G24" si="5">GANADOR_REAL(C19,D19,F19,E19)</f>
        <v>Arabia Saudita</v>
      </c>
      <c r="I19" s="17" t="s">
        <v>231</v>
      </c>
    </row>
    <row r="20">
      <c r="B20" s="57">
        <v>44887.0</v>
      </c>
      <c r="C20" s="58" t="s">
        <v>174</v>
      </c>
      <c r="D20" s="58">
        <v>0.0</v>
      </c>
      <c r="E20" s="58">
        <v>0.0</v>
      </c>
      <c r="F20" s="58" t="s">
        <v>110</v>
      </c>
      <c r="G20" s="60" t="str">
        <f t="shared" si="5"/>
        <v>EMPATE</v>
      </c>
      <c r="I20" s="10" t="s">
        <v>217</v>
      </c>
      <c r="J20" s="10" t="s">
        <v>218</v>
      </c>
      <c r="K20" s="17" t="s">
        <v>219</v>
      </c>
      <c r="L20" s="17" t="s">
        <v>220</v>
      </c>
      <c r="M20" s="17" t="s">
        <v>221</v>
      </c>
      <c r="N20" s="17" t="s">
        <v>222</v>
      </c>
      <c r="O20" s="17" t="s">
        <v>223</v>
      </c>
      <c r="P20" s="17" t="s">
        <v>224</v>
      </c>
      <c r="Q20" s="17" t="s">
        <v>225</v>
      </c>
      <c r="R20" s="17" t="s">
        <v>226</v>
      </c>
    </row>
    <row r="21">
      <c r="B21" s="73">
        <v>44891.0</v>
      </c>
      <c r="C21" s="74" t="s">
        <v>11</v>
      </c>
      <c r="D21" s="74">
        <v>2.0</v>
      </c>
      <c r="E21" s="74">
        <v>0.0</v>
      </c>
      <c r="F21" s="74" t="s">
        <v>174</v>
      </c>
      <c r="G21" s="75" t="str">
        <f t="shared" si="5"/>
        <v>Argentina</v>
      </c>
      <c r="I21" s="17">
        <v>1.0</v>
      </c>
      <c r="J21" s="10" t="s">
        <v>11</v>
      </c>
      <c r="K21" s="3">
        <f>PUNTAJE(D19,E19,D21,E21,D23,E23)</f>
        <v>3</v>
      </c>
      <c r="P21" s="3">
        <f>D19+D21+E23</f>
        <v>5</v>
      </c>
      <c r="Q21" s="3">
        <f>E19+E21+D23</f>
        <v>2</v>
      </c>
      <c r="R21" s="3">
        <f t="shared" ref="R21:R24" si="6">P21-Q21</f>
        <v>3</v>
      </c>
    </row>
    <row r="22">
      <c r="B22" s="73">
        <v>44891.0</v>
      </c>
      <c r="C22" s="74" t="s">
        <v>110</v>
      </c>
      <c r="D22" s="74">
        <v>2.0</v>
      </c>
      <c r="E22" s="74">
        <v>0.0</v>
      </c>
      <c r="F22" s="74" t="s">
        <v>173</v>
      </c>
      <c r="G22" s="75" t="str">
        <f t="shared" si="5"/>
        <v>Polonia</v>
      </c>
      <c r="I22" s="17">
        <v>2.0</v>
      </c>
      <c r="J22" s="10" t="s">
        <v>173</v>
      </c>
      <c r="K22" s="3">
        <f>PUNTAJE(E19,D19,E22,D22,D24,E24)</f>
        <v>3</v>
      </c>
      <c r="P22" s="3">
        <f>E19+E22+D24</f>
        <v>3</v>
      </c>
      <c r="Q22" s="3">
        <f>D19+D22+E24</f>
        <v>5</v>
      </c>
      <c r="R22" s="3">
        <f t="shared" si="6"/>
        <v>-2</v>
      </c>
    </row>
    <row r="23">
      <c r="B23" s="76">
        <v>44895.0</v>
      </c>
      <c r="C23" s="12" t="s">
        <v>110</v>
      </c>
      <c r="D23" s="12">
        <v>0.0</v>
      </c>
      <c r="E23" s="12">
        <v>2.0</v>
      </c>
      <c r="F23" s="12" t="s">
        <v>11</v>
      </c>
      <c r="G23" s="77" t="str">
        <f t="shared" si="5"/>
        <v>Argentina</v>
      </c>
      <c r="I23" s="17">
        <v>3.0</v>
      </c>
      <c r="J23" s="10" t="s">
        <v>174</v>
      </c>
      <c r="K23" s="3">
        <f>PUNTAJE(D21,E21,D23,E23,E25,D25)</f>
        <v>3</v>
      </c>
      <c r="P23" s="3">
        <f>D20+E21+E24</f>
        <v>2</v>
      </c>
      <c r="Q23" s="3">
        <f>E20+D21+D24</f>
        <v>3</v>
      </c>
      <c r="R23" s="3">
        <f t="shared" si="6"/>
        <v>-1</v>
      </c>
    </row>
    <row r="24">
      <c r="B24" s="76">
        <v>44895.0</v>
      </c>
      <c r="C24" s="12" t="s">
        <v>173</v>
      </c>
      <c r="D24" s="12">
        <v>1.0</v>
      </c>
      <c r="E24" s="12">
        <v>2.0</v>
      </c>
      <c r="F24" s="12" t="s">
        <v>174</v>
      </c>
      <c r="G24" s="77" t="str">
        <f t="shared" si="5"/>
        <v>Mexico</v>
      </c>
      <c r="I24" s="17">
        <v>4.0</v>
      </c>
      <c r="J24" s="10" t="s">
        <v>110</v>
      </c>
      <c r="P24" s="3">
        <f>E20+D22+D23</f>
        <v>2</v>
      </c>
      <c r="Q24" s="3">
        <f>D20+E22+E23</f>
        <v>2</v>
      </c>
      <c r="R24" s="3">
        <f t="shared" si="6"/>
        <v>0</v>
      </c>
    </row>
    <row r="27">
      <c r="A27" s="68" t="s">
        <v>232</v>
      </c>
      <c r="B27" s="57">
        <v>44887.0</v>
      </c>
      <c r="C27" s="58" t="s">
        <v>12</v>
      </c>
      <c r="D27" s="58">
        <v>4.0</v>
      </c>
      <c r="E27" s="58">
        <v>1.0</v>
      </c>
      <c r="F27" s="58" t="s">
        <v>109</v>
      </c>
      <c r="G27" s="60" t="str">
        <f t="shared" ref="G27:G32" si="7">GANADOR_REAL(C27,D27,F27,E27)</f>
        <v>Francia</v>
      </c>
      <c r="I27" s="17" t="s">
        <v>233</v>
      </c>
    </row>
    <row r="28">
      <c r="B28" s="57">
        <v>44887.0</v>
      </c>
      <c r="C28" s="58" t="s">
        <v>175</v>
      </c>
      <c r="D28" s="58">
        <v>0.0</v>
      </c>
      <c r="E28" s="58">
        <v>0.0</v>
      </c>
      <c r="F28" s="58" t="s">
        <v>176</v>
      </c>
      <c r="G28" s="60" t="str">
        <f t="shared" si="7"/>
        <v>EMPATE</v>
      </c>
      <c r="I28" s="10" t="s">
        <v>217</v>
      </c>
      <c r="J28" s="10" t="s">
        <v>218</v>
      </c>
      <c r="K28" s="17" t="s">
        <v>219</v>
      </c>
      <c r="L28" s="17" t="s">
        <v>220</v>
      </c>
      <c r="M28" s="17" t="s">
        <v>221</v>
      </c>
      <c r="N28" s="17" t="s">
        <v>222</v>
      </c>
      <c r="O28" s="17" t="s">
        <v>223</v>
      </c>
      <c r="P28" s="17" t="s">
        <v>224</v>
      </c>
      <c r="Q28" s="17" t="s">
        <v>225</v>
      </c>
      <c r="R28" s="17" t="s">
        <v>226</v>
      </c>
    </row>
    <row r="29">
      <c r="B29" s="73">
        <v>44891.0</v>
      </c>
      <c r="C29" s="74" t="s">
        <v>12</v>
      </c>
      <c r="D29" s="74">
        <v>2.0</v>
      </c>
      <c r="E29" s="74">
        <v>1.0</v>
      </c>
      <c r="F29" s="74" t="s">
        <v>175</v>
      </c>
      <c r="G29" s="75" t="str">
        <f t="shared" si="7"/>
        <v>Francia</v>
      </c>
      <c r="I29" s="17">
        <v>1.0</v>
      </c>
      <c r="J29" s="10" t="s">
        <v>12</v>
      </c>
      <c r="P29" s="3">
        <f>D27+D29+E31</f>
        <v>6</v>
      </c>
      <c r="Q29" s="3">
        <f>E27+E29+D31</f>
        <v>3</v>
      </c>
      <c r="R29" s="3">
        <f t="shared" ref="R29:R32" si="8">P29-Q29</f>
        <v>3</v>
      </c>
    </row>
    <row r="30">
      <c r="B30" s="73">
        <v>44891.0</v>
      </c>
      <c r="C30" s="74" t="s">
        <v>176</v>
      </c>
      <c r="D30" s="74">
        <v>0.0</v>
      </c>
      <c r="E30" s="74">
        <v>1.0</v>
      </c>
      <c r="F30" s="74" t="s">
        <v>109</v>
      </c>
      <c r="G30" s="75" t="str">
        <f t="shared" si="7"/>
        <v>Australia</v>
      </c>
      <c r="I30" s="17">
        <v>2.0</v>
      </c>
      <c r="J30" s="10" t="s">
        <v>175</v>
      </c>
      <c r="P30" s="3">
        <f>D28+E29+E32</f>
        <v>1</v>
      </c>
      <c r="Q30" s="3">
        <f>E28+D29+D32</f>
        <v>3</v>
      </c>
      <c r="R30" s="3">
        <f t="shared" si="8"/>
        <v>-2</v>
      </c>
    </row>
    <row r="31">
      <c r="B31" s="76">
        <v>44895.0</v>
      </c>
      <c r="C31" s="12" t="s">
        <v>176</v>
      </c>
      <c r="D31" s="12">
        <v>1.0</v>
      </c>
      <c r="E31" s="12">
        <v>0.0</v>
      </c>
      <c r="F31" s="12" t="s">
        <v>12</v>
      </c>
      <c r="G31" s="77" t="str">
        <f t="shared" si="7"/>
        <v>Tunez</v>
      </c>
      <c r="I31" s="17">
        <v>3.0</v>
      </c>
      <c r="J31" s="10" t="s">
        <v>176</v>
      </c>
      <c r="P31" s="3">
        <f>E28+D30+D31</f>
        <v>1</v>
      </c>
      <c r="Q31" s="3">
        <f>D28+E30+E31</f>
        <v>1</v>
      </c>
      <c r="R31" s="3">
        <f t="shared" si="8"/>
        <v>0</v>
      </c>
    </row>
    <row r="32">
      <c r="B32" s="76">
        <v>44895.0</v>
      </c>
      <c r="C32" s="12" t="s">
        <v>109</v>
      </c>
      <c r="D32" s="12">
        <v>1.0</v>
      </c>
      <c r="E32" s="12">
        <v>0.0</v>
      </c>
      <c r="F32" s="12" t="s">
        <v>175</v>
      </c>
      <c r="G32" s="77" t="str">
        <f t="shared" si="7"/>
        <v>Australia</v>
      </c>
      <c r="I32" s="17">
        <v>4.0</v>
      </c>
      <c r="J32" s="10" t="s">
        <v>109</v>
      </c>
      <c r="P32" s="3">
        <f>E27+E30+D32</f>
        <v>3</v>
      </c>
      <c r="Q32" s="3">
        <f>D27+D30+E32</f>
        <v>4</v>
      </c>
      <c r="R32" s="3">
        <f t="shared" si="8"/>
        <v>-1</v>
      </c>
    </row>
    <row r="35">
      <c r="A35" s="72" t="s">
        <v>222</v>
      </c>
      <c r="B35" s="51">
        <v>44888.0</v>
      </c>
      <c r="C35" s="78" t="s">
        <v>234</v>
      </c>
      <c r="D35" s="78">
        <v>6.0</v>
      </c>
      <c r="E35" s="78">
        <v>0.0</v>
      </c>
      <c r="F35" s="78" t="s">
        <v>177</v>
      </c>
      <c r="G35" s="79" t="str">
        <f t="shared" ref="G35:G40" si="9">GANADOR_REAL(C35,D35,F35,E35)</f>
        <v>España </v>
      </c>
      <c r="I35" s="17" t="s">
        <v>235</v>
      </c>
    </row>
    <row r="36">
      <c r="B36" s="51">
        <v>44888.0</v>
      </c>
      <c r="C36" s="78" t="s">
        <v>178</v>
      </c>
      <c r="D36" s="78">
        <v>1.0</v>
      </c>
      <c r="E36" s="78">
        <v>2.0</v>
      </c>
      <c r="F36" s="78" t="s">
        <v>111</v>
      </c>
      <c r="G36" s="79" t="str">
        <f t="shared" si="9"/>
        <v>Japón</v>
      </c>
      <c r="I36" s="10" t="s">
        <v>217</v>
      </c>
      <c r="J36" s="10" t="s">
        <v>218</v>
      </c>
      <c r="K36" s="17" t="s">
        <v>219</v>
      </c>
      <c r="L36" s="17" t="s">
        <v>220</v>
      </c>
      <c r="M36" s="17" t="s">
        <v>221</v>
      </c>
      <c r="N36" s="17" t="s">
        <v>222</v>
      </c>
      <c r="O36" s="17" t="s">
        <v>223</v>
      </c>
      <c r="P36" s="17" t="s">
        <v>224</v>
      </c>
      <c r="Q36" s="17" t="s">
        <v>225</v>
      </c>
      <c r="R36" s="17" t="s">
        <v>226</v>
      </c>
    </row>
    <row r="37">
      <c r="B37" s="51">
        <v>44892.0</v>
      </c>
      <c r="C37" s="11" t="s">
        <v>234</v>
      </c>
      <c r="D37" s="11">
        <v>1.0</v>
      </c>
      <c r="E37" s="11">
        <v>1.0</v>
      </c>
      <c r="F37" s="11" t="s">
        <v>178</v>
      </c>
      <c r="G37" s="80" t="str">
        <f t="shared" si="9"/>
        <v>EMPATE</v>
      </c>
      <c r="I37" s="17">
        <v>1.0</v>
      </c>
      <c r="J37" s="10" t="s">
        <v>112</v>
      </c>
      <c r="P37" s="3">
        <f>D35+D37+E39</f>
        <v>8</v>
      </c>
      <c r="Q37" s="3">
        <f>E35+E37+D39</f>
        <v>3</v>
      </c>
      <c r="R37" s="3">
        <f t="shared" ref="R37:R40" si="10">P37-Q37</f>
        <v>5</v>
      </c>
    </row>
    <row r="38">
      <c r="B38" s="51">
        <v>44892.0</v>
      </c>
      <c r="C38" s="11" t="s">
        <v>111</v>
      </c>
      <c r="D38" s="11">
        <v>0.0</v>
      </c>
      <c r="E38" s="11">
        <v>1.0</v>
      </c>
      <c r="F38" s="11" t="s">
        <v>177</v>
      </c>
      <c r="G38" s="80" t="str">
        <f t="shared" si="9"/>
        <v>Costa Rica</v>
      </c>
      <c r="I38" s="17">
        <v>2.0</v>
      </c>
      <c r="J38" s="10" t="s">
        <v>177</v>
      </c>
      <c r="P38" s="3">
        <f>E35+E38+D40</f>
        <v>3</v>
      </c>
      <c r="Q38" s="3">
        <f>D35+D38+E40</f>
        <v>10</v>
      </c>
      <c r="R38" s="3">
        <f t="shared" si="10"/>
        <v>-7</v>
      </c>
    </row>
    <row r="39">
      <c r="B39" s="51">
        <v>44896.0</v>
      </c>
      <c r="C39" s="81" t="s">
        <v>111</v>
      </c>
      <c r="D39" s="81">
        <v>2.0</v>
      </c>
      <c r="E39" s="81">
        <v>1.0</v>
      </c>
      <c r="F39" s="81" t="s">
        <v>112</v>
      </c>
      <c r="G39" s="82" t="str">
        <f t="shared" si="9"/>
        <v>Japón</v>
      </c>
      <c r="I39" s="17">
        <v>3.0</v>
      </c>
      <c r="J39" s="10" t="s">
        <v>178</v>
      </c>
      <c r="P39" s="3">
        <f>D36+E37+E40</f>
        <v>6</v>
      </c>
      <c r="Q39" s="3">
        <f>E36+D37+D40</f>
        <v>5</v>
      </c>
      <c r="R39" s="3">
        <f t="shared" si="10"/>
        <v>1</v>
      </c>
    </row>
    <row r="40">
      <c r="B40" s="51">
        <v>44896.0</v>
      </c>
      <c r="C40" s="81" t="s">
        <v>177</v>
      </c>
      <c r="D40" s="81">
        <v>2.0</v>
      </c>
      <c r="E40" s="81">
        <v>4.0</v>
      </c>
      <c r="F40" s="81" t="s">
        <v>178</v>
      </c>
      <c r="G40" s="82" t="str">
        <f t="shared" si="9"/>
        <v>Alemania</v>
      </c>
      <c r="I40" s="17">
        <v>4.0</v>
      </c>
      <c r="J40" s="10" t="s">
        <v>179</v>
      </c>
      <c r="P40" s="3">
        <f>E36+D38+D39</f>
        <v>4</v>
      </c>
      <c r="Q40" s="3">
        <f>D36+E38+E39</f>
        <v>3</v>
      </c>
      <c r="R40" s="3">
        <f t="shared" si="10"/>
        <v>1</v>
      </c>
    </row>
    <row r="43">
      <c r="A43" s="68" t="s">
        <v>236</v>
      </c>
      <c r="B43" s="51">
        <v>44888.0</v>
      </c>
      <c r="C43" s="78" t="s">
        <v>180</v>
      </c>
      <c r="D43" s="78">
        <v>1.0</v>
      </c>
      <c r="E43" s="78">
        <v>0.0</v>
      </c>
      <c r="F43" s="78" t="s">
        <v>181</v>
      </c>
      <c r="G43" s="79" t="str">
        <f t="shared" ref="G43:G48" si="11">GANADOR_REAL(C43,D43,F43,E43)</f>
        <v>Belgica</v>
      </c>
      <c r="I43" s="17" t="s">
        <v>237</v>
      </c>
    </row>
    <row r="44">
      <c r="B44" s="51">
        <v>44888.0</v>
      </c>
      <c r="C44" s="78" t="s">
        <v>14</v>
      </c>
      <c r="D44" s="78">
        <v>0.0</v>
      </c>
      <c r="E44" s="78">
        <v>0.0</v>
      </c>
      <c r="F44" s="78" t="s">
        <v>13</v>
      </c>
      <c r="G44" s="79" t="str">
        <f t="shared" si="11"/>
        <v>EMPATE</v>
      </c>
      <c r="I44" s="10" t="s">
        <v>217</v>
      </c>
      <c r="J44" s="10" t="s">
        <v>218</v>
      </c>
      <c r="K44" s="17" t="s">
        <v>219</v>
      </c>
      <c r="L44" s="17" t="s">
        <v>220</v>
      </c>
      <c r="M44" s="17" t="s">
        <v>221</v>
      </c>
      <c r="N44" s="17" t="s">
        <v>222</v>
      </c>
      <c r="O44" s="17" t="s">
        <v>223</v>
      </c>
      <c r="P44" s="17" t="s">
        <v>224</v>
      </c>
      <c r="Q44" s="17" t="s">
        <v>225</v>
      </c>
      <c r="R44" s="17" t="s">
        <v>226</v>
      </c>
    </row>
    <row r="45">
      <c r="B45" s="51">
        <v>44892.0</v>
      </c>
      <c r="C45" s="11" t="s">
        <v>180</v>
      </c>
      <c r="D45" s="11">
        <v>0.0</v>
      </c>
      <c r="E45" s="11">
        <v>2.0</v>
      </c>
      <c r="F45" s="11" t="s">
        <v>14</v>
      </c>
      <c r="G45" s="80" t="str">
        <f t="shared" si="11"/>
        <v>Marruecos</v>
      </c>
      <c r="I45" s="17">
        <v>1.0</v>
      </c>
      <c r="J45" s="10" t="s">
        <v>180</v>
      </c>
      <c r="P45" s="3">
        <f>D43+D45+E47</f>
        <v>1</v>
      </c>
      <c r="Q45" s="3">
        <f>E43+E45+D47</f>
        <v>2</v>
      </c>
      <c r="R45" s="3">
        <f t="shared" ref="R45:R48" si="12">P45-Q45</f>
        <v>-1</v>
      </c>
    </row>
    <row r="46">
      <c r="B46" s="51">
        <v>44892.0</v>
      </c>
      <c r="C46" s="11" t="s">
        <v>13</v>
      </c>
      <c r="D46" s="11">
        <v>4.0</v>
      </c>
      <c r="E46" s="11">
        <v>1.0</v>
      </c>
      <c r="F46" s="11" t="s">
        <v>181</v>
      </c>
      <c r="G46" s="80" t="str">
        <f t="shared" si="11"/>
        <v>Croacia</v>
      </c>
      <c r="I46" s="17">
        <v>2.0</v>
      </c>
      <c r="J46" s="10" t="s">
        <v>181</v>
      </c>
      <c r="P46" s="3">
        <f>E43+E46+D48</f>
        <v>2</v>
      </c>
      <c r="Q46" s="3">
        <f>D43+D46+E48</f>
        <v>7</v>
      </c>
      <c r="R46" s="3">
        <f t="shared" si="12"/>
        <v>-5</v>
      </c>
    </row>
    <row r="47">
      <c r="B47" s="51">
        <v>44896.0</v>
      </c>
      <c r="C47" s="81" t="s">
        <v>13</v>
      </c>
      <c r="D47" s="81">
        <v>0.0</v>
      </c>
      <c r="E47" s="81">
        <v>0.0</v>
      </c>
      <c r="F47" s="81" t="s">
        <v>180</v>
      </c>
      <c r="G47" s="82" t="str">
        <f t="shared" si="11"/>
        <v>EMPATE</v>
      </c>
      <c r="I47" s="17">
        <v>3.0</v>
      </c>
      <c r="J47" s="10" t="s">
        <v>14</v>
      </c>
      <c r="P47" s="3">
        <f>D44+E45+E48</f>
        <v>4</v>
      </c>
      <c r="Q47" s="3">
        <f>E44+D45+D48</f>
        <v>1</v>
      </c>
      <c r="R47" s="3">
        <f t="shared" si="12"/>
        <v>3</v>
      </c>
    </row>
    <row r="48">
      <c r="B48" s="51">
        <v>44896.0</v>
      </c>
      <c r="C48" s="81" t="s">
        <v>181</v>
      </c>
      <c r="D48" s="81">
        <v>1.0</v>
      </c>
      <c r="E48" s="81">
        <v>2.0</v>
      </c>
      <c r="F48" s="81" t="s">
        <v>14</v>
      </c>
      <c r="G48" s="82" t="str">
        <f t="shared" si="11"/>
        <v>Marruecos</v>
      </c>
      <c r="I48" s="17">
        <v>4.0</v>
      </c>
      <c r="J48" s="10" t="s">
        <v>13</v>
      </c>
      <c r="P48" s="3">
        <f>E44+D46+D47</f>
        <v>4</v>
      </c>
      <c r="Q48" s="3">
        <f>D44+E46+E47</f>
        <v>1</v>
      </c>
      <c r="R48" s="3">
        <f t="shared" si="12"/>
        <v>3</v>
      </c>
    </row>
    <row r="51">
      <c r="A51" s="72" t="s">
        <v>221</v>
      </c>
      <c r="B51" s="51">
        <v>44889.0</v>
      </c>
      <c r="C51" s="83" t="s">
        <v>93</v>
      </c>
      <c r="D51" s="83">
        <v>2.0</v>
      </c>
      <c r="E51" s="83">
        <v>0.0</v>
      </c>
      <c r="F51" s="83" t="s">
        <v>182</v>
      </c>
      <c r="G51" s="84" t="str">
        <f t="shared" ref="G51:G56" si="13">GANADOR_REAL(C51,D51,F51,E51)</f>
        <v>Brasil</v>
      </c>
      <c r="I51" s="17" t="s">
        <v>238</v>
      </c>
    </row>
    <row r="52">
      <c r="B52" s="51">
        <v>44889.0</v>
      </c>
      <c r="C52" s="83" t="s">
        <v>114</v>
      </c>
      <c r="D52" s="83">
        <v>1.0</v>
      </c>
      <c r="E52" s="83">
        <v>0.0</v>
      </c>
      <c r="F52" s="83" t="s">
        <v>183</v>
      </c>
      <c r="G52" s="84" t="str">
        <f t="shared" si="13"/>
        <v>Suiza</v>
      </c>
      <c r="I52" s="10" t="s">
        <v>217</v>
      </c>
      <c r="J52" s="10" t="s">
        <v>218</v>
      </c>
      <c r="K52" s="17" t="s">
        <v>219</v>
      </c>
      <c r="L52" s="17" t="s">
        <v>220</v>
      </c>
      <c r="M52" s="17" t="s">
        <v>221</v>
      </c>
      <c r="N52" s="17" t="s">
        <v>222</v>
      </c>
      <c r="O52" s="17" t="s">
        <v>223</v>
      </c>
      <c r="P52" s="17" t="s">
        <v>224</v>
      </c>
      <c r="Q52" s="17" t="s">
        <v>225</v>
      </c>
      <c r="R52" s="17" t="s">
        <v>226</v>
      </c>
    </row>
    <row r="53">
      <c r="B53" s="51">
        <v>44893.0</v>
      </c>
      <c r="C53" s="81" t="s">
        <v>93</v>
      </c>
      <c r="D53" s="81">
        <v>1.0</v>
      </c>
      <c r="E53" s="81">
        <v>0.0</v>
      </c>
      <c r="F53" s="81" t="s">
        <v>114</v>
      </c>
      <c r="G53" s="82" t="str">
        <f t="shared" si="13"/>
        <v>Brasil</v>
      </c>
      <c r="I53" s="17">
        <v>1.0</v>
      </c>
      <c r="J53" s="10" t="s">
        <v>93</v>
      </c>
      <c r="P53" s="3">
        <f>D51+D53+E55</f>
        <v>3</v>
      </c>
      <c r="Q53" s="3">
        <f>E51+E53+D55</f>
        <v>1</v>
      </c>
      <c r="R53" s="3">
        <f t="shared" ref="R53:R56" si="14">P53-Q53</f>
        <v>2</v>
      </c>
    </row>
    <row r="54">
      <c r="B54" s="51">
        <v>44893.0</v>
      </c>
      <c r="C54" s="81" t="s">
        <v>183</v>
      </c>
      <c r="D54" s="81">
        <v>3.0</v>
      </c>
      <c r="E54" s="81">
        <v>3.0</v>
      </c>
      <c r="F54" s="81" t="s">
        <v>182</v>
      </c>
      <c r="G54" s="82" t="str">
        <f t="shared" si="13"/>
        <v>EMPATE</v>
      </c>
      <c r="I54" s="17">
        <v>2.0</v>
      </c>
      <c r="J54" s="10" t="s">
        <v>182</v>
      </c>
      <c r="P54" s="3">
        <f>E51+E54+D56</f>
        <v>5</v>
      </c>
      <c r="Q54" s="3">
        <f>D51+D54+E56</f>
        <v>8</v>
      </c>
      <c r="R54" s="3">
        <f t="shared" si="14"/>
        <v>-3</v>
      </c>
    </row>
    <row r="55">
      <c r="B55" s="51">
        <v>44897.0</v>
      </c>
      <c r="C55" s="25" t="s">
        <v>183</v>
      </c>
      <c r="D55" s="25">
        <v>1.0</v>
      </c>
      <c r="E55" s="25">
        <v>0.0</v>
      </c>
      <c r="F55" s="25" t="s">
        <v>93</v>
      </c>
      <c r="G55" s="66" t="str">
        <f t="shared" si="13"/>
        <v>Camerun</v>
      </c>
      <c r="I55" s="17">
        <v>3.0</v>
      </c>
      <c r="J55" s="10" t="s">
        <v>114</v>
      </c>
      <c r="P55" s="3">
        <f>D52+E53+E56</f>
        <v>4</v>
      </c>
      <c r="Q55" s="3">
        <f>E52+D53+D56</f>
        <v>3</v>
      </c>
      <c r="R55" s="3">
        <f t="shared" si="14"/>
        <v>1</v>
      </c>
    </row>
    <row r="56">
      <c r="B56" s="51">
        <v>44897.0</v>
      </c>
      <c r="C56" s="25" t="s">
        <v>182</v>
      </c>
      <c r="D56" s="25">
        <v>2.0</v>
      </c>
      <c r="E56" s="25">
        <v>3.0</v>
      </c>
      <c r="F56" s="25" t="s">
        <v>114</v>
      </c>
      <c r="G56" s="66" t="str">
        <f t="shared" si="13"/>
        <v>Suiza</v>
      </c>
      <c r="I56" s="17">
        <v>4.0</v>
      </c>
      <c r="J56" s="10" t="s">
        <v>183</v>
      </c>
      <c r="P56" s="3">
        <f>E52+D54+D55</f>
        <v>4</v>
      </c>
      <c r="Q56" s="3">
        <f>D52+E54+E55</f>
        <v>4</v>
      </c>
      <c r="R56" s="3">
        <f t="shared" si="14"/>
        <v>0</v>
      </c>
    </row>
    <row r="59">
      <c r="A59" s="68" t="s">
        <v>239</v>
      </c>
      <c r="B59" s="51">
        <v>44889.0</v>
      </c>
      <c r="C59" s="83" t="s">
        <v>95</v>
      </c>
      <c r="D59" s="83">
        <v>3.0</v>
      </c>
      <c r="E59" s="83">
        <v>2.0</v>
      </c>
      <c r="F59" s="83" t="s">
        <v>184</v>
      </c>
      <c r="G59" s="3" t="str">
        <f t="shared" ref="G59:G64" si="15">GANADOR_REAL(C59,D59,F59,E59)</f>
        <v>Portugal</v>
      </c>
      <c r="I59" s="17" t="s">
        <v>190</v>
      </c>
    </row>
    <row r="60">
      <c r="B60" s="51">
        <v>44889.0</v>
      </c>
      <c r="C60" s="83" t="s">
        <v>185</v>
      </c>
      <c r="D60" s="83">
        <v>0.0</v>
      </c>
      <c r="E60" s="83">
        <v>0.0</v>
      </c>
      <c r="F60" s="83" t="s">
        <v>113</v>
      </c>
      <c r="G60" s="3" t="str">
        <f t="shared" si="15"/>
        <v>EMPATE</v>
      </c>
      <c r="I60" s="10" t="s">
        <v>217</v>
      </c>
      <c r="J60" s="10" t="s">
        <v>218</v>
      </c>
      <c r="K60" s="17" t="s">
        <v>219</v>
      </c>
      <c r="L60" s="17" t="s">
        <v>220</v>
      </c>
      <c r="M60" s="17" t="s">
        <v>221</v>
      </c>
      <c r="N60" s="17" t="s">
        <v>222</v>
      </c>
      <c r="O60" s="17" t="s">
        <v>223</v>
      </c>
      <c r="P60" s="17" t="s">
        <v>224</v>
      </c>
      <c r="Q60" s="17" t="s">
        <v>225</v>
      </c>
      <c r="R60" s="17" t="s">
        <v>226</v>
      </c>
    </row>
    <row r="61">
      <c r="B61" s="51">
        <v>44893.0</v>
      </c>
      <c r="C61" s="81" t="s">
        <v>95</v>
      </c>
      <c r="D61" s="81">
        <v>2.0</v>
      </c>
      <c r="E61" s="81">
        <v>0.0</v>
      </c>
      <c r="F61" s="81" t="s">
        <v>185</v>
      </c>
      <c r="G61" s="82" t="str">
        <f t="shared" si="15"/>
        <v>Portugal</v>
      </c>
      <c r="I61" s="17">
        <v>1.0</v>
      </c>
      <c r="J61" s="10" t="s">
        <v>95</v>
      </c>
      <c r="P61" s="3">
        <f>D59+D61+E63</f>
        <v>6</v>
      </c>
      <c r="Q61" s="3">
        <f>E59+E61+D63</f>
        <v>4</v>
      </c>
      <c r="R61" s="3">
        <f t="shared" ref="R61:R64" si="16">P61-Q61</f>
        <v>2</v>
      </c>
    </row>
    <row r="62">
      <c r="B62" s="51">
        <v>44893.0</v>
      </c>
      <c r="C62" s="81" t="s">
        <v>113</v>
      </c>
      <c r="D62" s="81">
        <v>2.0</v>
      </c>
      <c r="E62" s="81">
        <v>3.0</v>
      </c>
      <c r="F62" s="81" t="s">
        <v>184</v>
      </c>
      <c r="G62" s="82" t="str">
        <f t="shared" si="15"/>
        <v>Ghana</v>
      </c>
      <c r="I62" s="17">
        <v>2.0</v>
      </c>
      <c r="J62" s="10" t="s">
        <v>184</v>
      </c>
      <c r="P62" s="3">
        <f>E59+E62+D64</f>
        <v>5</v>
      </c>
      <c r="Q62" s="3">
        <f>D59+D62+E64</f>
        <v>7</v>
      </c>
      <c r="R62" s="3">
        <f t="shared" si="16"/>
        <v>-2</v>
      </c>
    </row>
    <row r="63">
      <c r="B63" s="51">
        <v>44897.0</v>
      </c>
      <c r="C63" s="25" t="s">
        <v>113</v>
      </c>
      <c r="D63" s="25">
        <v>2.0</v>
      </c>
      <c r="E63" s="25">
        <v>1.0</v>
      </c>
      <c r="F63" s="25" t="s">
        <v>95</v>
      </c>
      <c r="G63" s="66" t="str">
        <f t="shared" si="15"/>
        <v>Corea del Sur</v>
      </c>
      <c r="I63" s="17">
        <v>3.0</v>
      </c>
      <c r="J63" s="10" t="s">
        <v>185</v>
      </c>
      <c r="P63" s="3">
        <f>D60+E61+E64</f>
        <v>2</v>
      </c>
      <c r="Q63" s="3">
        <f>E60+D61+D64</f>
        <v>2</v>
      </c>
      <c r="R63" s="3">
        <f t="shared" si="16"/>
        <v>0</v>
      </c>
    </row>
    <row r="64">
      <c r="B64" s="51">
        <v>44897.0</v>
      </c>
      <c r="C64" s="25" t="s">
        <v>184</v>
      </c>
      <c r="D64" s="25">
        <v>0.0</v>
      </c>
      <c r="E64" s="25">
        <v>2.0</v>
      </c>
      <c r="F64" s="25" t="s">
        <v>185</v>
      </c>
      <c r="G64" s="66" t="str">
        <f t="shared" si="15"/>
        <v>Uruguay</v>
      </c>
      <c r="I64" s="17">
        <v>4.0</v>
      </c>
      <c r="J64" s="10" t="s">
        <v>113</v>
      </c>
      <c r="P64" s="3">
        <f>E60+D62+D63</f>
        <v>4</v>
      </c>
      <c r="Q64" s="3">
        <f>D60+E62+E63</f>
        <v>4</v>
      </c>
      <c r="R64" s="3">
        <f t="shared" si="16"/>
        <v>0</v>
      </c>
    </row>
  </sheetData>
  <mergeCells count="16">
    <mergeCell ref="A27:A32"/>
    <mergeCell ref="A35:A40"/>
    <mergeCell ref="A43:A48"/>
    <mergeCell ref="A51:A56"/>
    <mergeCell ref="A59:A64"/>
    <mergeCell ref="I35:R35"/>
    <mergeCell ref="I43:R43"/>
    <mergeCell ref="I51:R51"/>
    <mergeCell ref="I59:R59"/>
    <mergeCell ref="A3:A8"/>
    <mergeCell ref="I3:R3"/>
    <mergeCell ref="A11:A16"/>
    <mergeCell ref="I11:R11"/>
    <mergeCell ref="A19:A24"/>
    <mergeCell ref="I19:R19"/>
    <mergeCell ref="I27:R27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3.0"/>
  </cols>
  <sheetData>
    <row r="1">
      <c r="A1" s="17" t="s">
        <v>0</v>
      </c>
      <c r="B1" s="17" t="s">
        <v>89</v>
      </c>
      <c r="D1" s="17" t="s">
        <v>90</v>
      </c>
      <c r="F1" s="17" t="s">
        <v>91</v>
      </c>
      <c r="H1" s="17" t="s">
        <v>92</v>
      </c>
      <c r="J1" s="4"/>
    </row>
    <row r="2">
      <c r="A2" s="4"/>
      <c r="B2" s="17" t="s">
        <v>208</v>
      </c>
      <c r="C2" s="17" t="s">
        <v>209</v>
      </c>
      <c r="D2" s="17" t="s">
        <v>208</v>
      </c>
      <c r="E2" s="17" t="s">
        <v>209</v>
      </c>
      <c r="F2" s="17" t="s">
        <v>208</v>
      </c>
      <c r="G2" s="17" t="s">
        <v>209</v>
      </c>
      <c r="H2" s="17" t="s">
        <v>208</v>
      </c>
      <c r="I2" s="17" t="s">
        <v>209</v>
      </c>
      <c r="J2" s="17" t="s">
        <v>210</v>
      </c>
    </row>
    <row r="3">
      <c r="A3" s="10" t="str">
        <f>'Pollas Cuartos de Final'!C3</f>
        <v>Emerson Alexis Gomez</v>
      </c>
      <c r="B3" s="4" t="str">
        <f>GANADOR_MARCADOR_POLLA('Pollas Cuartos de Final'!D3,'Pollas Cuartos de Final'!$D$2,'Pollas Cuartos de Final'!E3,'Pollas Cuartos de Final'!$E$2)</f>
        <v>Brasil</v>
      </c>
      <c r="C3" s="4">
        <f>PUNTAJE_GANADORES('Pollas Cuartos de Final'!D3,'Resultados Oficiales Cuartos de'!$C$2,'Pollas Cuartos de Final'!E3,'Resultados Oficiales Cuartos de'!$D$2,B3,'Resultados Oficiales Cuartos de'!$F$2)</f>
        <v>0</v>
      </c>
      <c r="D3" s="4" t="str">
        <f>GANADOR_MARCADOR_POLLA('Pollas Cuartos de Final'!F3,'Pollas Cuartos de Final'!$F$2,'Pollas Cuartos de Final'!G3,'Pollas Cuartos de Final'!$G$2)</f>
        <v>Paises Bajos</v>
      </c>
      <c r="E3" s="4">
        <f>PUNTAJE_GANADORES('Pollas Cuartos de Final'!F3,'Resultados Oficiales Cuartos de'!$C$3,'Pollas Cuartos de Final'!G3,'Resultados Oficiales Cuartos de'!$D$3,D3,'Resultados Oficiales Cuartos de'!$F$3)</f>
        <v>1</v>
      </c>
      <c r="F3" s="4" t="str">
        <f>GANADOR_MARCADOR_POLLA('Pollas Cuartos de Final'!H3,'Pollas Cuartos de Final'!$H$2,'Pollas Cuartos de Final'!I3,'Pollas Cuartos de Final'!$I$2)</f>
        <v>Portugal</v>
      </c>
      <c r="G3" s="4">
        <f>PUNTAJE_GANADORES('Pollas Cuartos de Final'!H3,'Resultados Oficiales Cuartos de'!$C$4,'Pollas Cuartos de Final'!I3,'Resultados Oficiales Cuartos de'!$D$4,F3,'Resultados Oficiales Cuartos de'!$F$4)</f>
        <v>1</v>
      </c>
      <c r="H3" s="4" t="str">
        <f>GANADOR_MARCADOR_POLLA('Pollas Cuartos de Final'!J3,'Pollas Cuartos de Final'!$J$2,'Pollas Cuartos de Final'!K3,'Pollas Cuartos de Final'!$K$2)</f>
        <v>Francia</v>
      </c>
      <c r="I3" s="4">
        <f>PUNTAJE_GANADORES('Pollas Cuartos de Final'!J3,'Resultados Oficiales Cuartos de'!$C$5,'Pollas Cuartos de Final'!K3,'Resultados Oficiales Cuartos de'!$D$5,H3,'Resultados Oficiales Cuartos de'!$F$5)</f>
        <v>5</v>
      </c>
      <c r="J3" s="17">
        <f t="shared" ref="J3:J31" si="1">SUM(C3,E3,G3,I3)</f>
        <v>7</v>
      </c>
    </row>
    <row r="4">
      <c r="A4" s="10" t="str">
        <f>'Pollas Cuartos de Final'!C4</f>
        <v>Club Atletico Vodka Juniors</v>
      </c>
      <c r="B4" s="4" t="str">
        <f>GANADOR_MARCADOR_POLLA('Pollas Cuartos de Final'!D4,'Pollas Cuartos de Final'!$D$2,'Pollas Cuartos de Final'!E4,'Pollas Cuartos de Final'!$E$2)</f>
        <v>Brasil</v>
      </c>
      <c r="C4" s="4">
        <f>PUNTAJE_GANADORES('Pollas Cuartos de Final'!D4,'Resultados Oficiales Cuartos de'!$C$2,'Pollas Cuartos de Final'!E4,'Resultados Oficiales Cuartos de'!$D$2,B4,'Resultados Oficiales Cuartos de'!$F$2)</f>
        <v>0</v>
      </c>
      <c r="D4" s="4" t="str">
        <f>GANADOR_MARCADOR_POLLA('Pollas Cuartos de Final'!F4,'Pollas Cuartos de Final'!$F$2,'Pollas Cuartos de Final'!G4,'Pollas Cuartos de Final'!$G$2)</f>
        <v>Argentina</v>
      </c>
      <c r="E4" s="4">
        <f>PUNTAJE_GANADORES('Pollas Cuartos de Final'!F4,'Resultados Oficiales Cuartos de'!$C$3,'Pollas Cuartos de Final'!G4,'Resultados Oficiales Cuartos de'!$D$3,D4,'Resultados Oficiales Cuartos de'!$F$3)</f>
        <v>1</v>
      </c>
      <c r="F4" s="4" t="str">
        <f>GANADOR_MARCADOR_POLLA('Pollas Cuartos de Final'!H4,'Pollas Cuartos de Final'!$H$2,'Pollas Cuartos de Final'!I4,'Pollas Cuartos de Final'!$I$2)</f>
        <v>Portugal</v>
      </c>
      <c r="G4" s="4">
        <f>PUNTAJE_GANADORES('Pollas Cuartos de Final'!H4,'Resultados Oficiales Cuartos de'!$C$4,'Pollas Cuartos de Final'!I4,'Resultados Oficiales Cuartos de'!$D$4,F4,'Resultados Oficiales Cuartos de'!$F$4)</f>
        <v>0</v>
      </c>
      <c r="H4" s="4" t="str">
        <f>GANADOR_MARCADOR_POLLA('Pollas Cuartos de Final'!J4,'Pollas Cuartos de Final'!$J$2,'Pollas Cuartos de Final'!K4,'Pollas Cuartos de Final'!$K$2)</f>
        <v>Francia</v>
      </c>
      <c r="I4" s="4">
        <f>PUNTAJE_GANADORES('Pollas Cuartos de Final'!J4,'Resultados Oficiales Cuartos de'!$C$5,'Pollas Cuartos de Final'!K4,'Resultados Oficiales Cuartos de'!$D$5,H4,'Resultados Oficiales Cuartos de'!$F$5)</f>
        <v>5</v>
      </c>
      <c r="J4" s="17">
        <f t="shared" si="1"/>
        <v>6</v>
      </c>
    </row>
    <row r="5">
      <c r="A5" s="10" t="str">
        <f>'Pollas Cuartos de Final'!C5</f>
        <v>Lolita</v>
      </c>
      <c r="B5" s="4" t="str">
        <f>GANADOR_MARCADOR_POLLA('Pollas Cuartos de Final'!D5,'Pollas Cuartos de Final'!$D$2,'Pollas Cuartos de Final'!E5,'Pollas Cuartos de Final'!$E$2)</f>
        <v>Brasil</v>
      </c>
      <c r="C5" s="4">
        <f>PUNTAJE_GANADORES('Pollas Cuartos de Final'!D5,'Resultados Oficiales Cuartos de'!$C$2,'Pollas Cuartos de Final'!E5,'Resultados Oficiales Cuartos de'!$D$2,B5,'Resultados Oficiales Cuartos de'!$F$2)</f>
        <v>0</v>
      </c>
      <c r="D5" s="4" t="str">
        <f>GANADOR_MARCADOR_POLLA('Pollas Cuartos de Final'!F5,'Pollas Cuartos de Final'!$F$2,'Pollas Cuartos de Final'!G5,'Pollas Cuartos de Final'!$G$2)</f>
        <v>Argentina</v>
      </c>
      <c r="E5" s="4">
        <f>PUNTAJE_GANADORES('Pollas Cuartos de Final'!F5,'Resultados Oficiales Cuartos de'!$C$3,'Pollas Cuartos de Final'!G5,'Resultados Oficiales Cuartos de'!$D$3,D5,'Resultados Oficiales Cuartos de'!$F$3)</f>
        <v>1</v>
      </c>
      <c r="F5" s="4" t="str">
        <f>GANADOR_MARCADOR_POLLA('Pollas Cuartos de Final'!H5,'Pollas Cuartos de Final'!$H$2,'Pollas Cuartos de Final'!I5,'Pollas Cuartos de Final'!$I$2)</f>
        <v>Portugal</v>
      </c>
      <c r="G5" s="4">
        <f>PUNTAJE_GANADORES('Pollas Cuartos de Final'!H5,'Resultados Oficiales Cuartos de'!$C$4,'Pollas Cuartos de Final'!I5,'Resultados Oficiales Cuartos de'!$D$4,F5,'Resultados Oficiales Cuartos de'!$F$4)</f>
        <v>1</v>
      </c>
      <c r="H5" s="4" t="str">
        <f>GANADOR_MARCADOR_POLLA('Pollas Cuartos de Final'!J5,'Pollas Cuartos de Final'!$J$2,'Pollas Cuartos de Final'!K5,'Pollas Cuartos de Final'!$K$2)</f>
        <v>EMPATE</v>
      </c>
      <c r="I5" s="4">
        <f>PUNTAJE_GANADORES('Pollas Cuartos de Final'!J5,'Resultados Oficiales Cuartos de'!$C$5,'Pollas Cuartos de Final'!K5,'Resultados Oficiales Cuartos de'!$D$5,H5,'Resultados Oficiales Cuartos de'!$F$5)</f>
        <v>1</v>
      </c>
      <c r="J5" s="17">
        <f t="shared" si="1"/>
        <v>3</v>
      </c>
    </row>
    <row r="6">
      <c r="A6" s="10" t="str">
        <f>'Pollas Cuartos de Final'!C6</f>
        <v>Juan Esteban Montoya Hincapie</v>
      </c>
      <c r="B6" s="4" t="str">
        <f>GANADOR_MARCADOR_POLLA('Pollas Cuartos de Final'!D6,'Pollas Cuartos de Final'!$D$2,'Pollas Cuartos de Final'!E6,'Pollas Cuartos de Final'!$E$2)</f>
        <v>EMPATE</v>
      </c>
      <c r="C6" s="4">
        <f>PUNTAJE_GANADORES('Pollas Cuartos de Final'!D6,'Resultados Oficiales Cuartos de'!$C$2,'Pollas Cuartos de Final'!E6,'Resultados Oficiales Cuartos de'!$D$2,B6,'Resultados Oficiales Cuartos de'!$F$2)</f>
        <v>1</v>
      </c>
      <c r="D6" s="4" t="str">
        <f>GANADOR_MARCADOR_POLLA('Pollas Cuartos de Final'!F6,'Pollas Cuartos de Final'!$F$2,'Pollas Cuartos de Final'!G6,'Pollas Cuartos de Final'!$G$2)</f>
        <v>Argentina</v>
      </c>
      <c r="E6" s="4">
        <f>PUNTAJE_GANADORES('Pollas Cuartos de Final'!F6,'Resultados Oficiales Cuartos de'!$C$3,'Pollas Cuartos de Final'!G6,'Resultados Oficiales Cuartos de'!$D$3,D6,'Resultados Oficiales Cuartos de'!$F$3)</f>
        <v>1</v>
      </c>
      <c r="F6" s="4" t="str">
        <f>GANADOR_MARCADOR_POLLA('Pollas Cuartos de Final'!H6,'Pollas Cuartos de Final'!$H$2,'Pollas Cuartos de Final'!I6,'Pollas Cuartos de Final'!$I$2)</f>
        <v>Marruecos</v>
      </c>
      <c r="G6" s="4">
        <f>PUNTAJE_GANADORES('Pollas Cuartos de Final'!H6,'Resultados Oficiales Cuartos de'!$C$4,'Pollas Cuartos de Final'!I6,'Resultados Oficiales Cuartos de'!$D$4,F6,'Resultados Oficiales Cuartos de'!$F$4)</f>
        <v>2</v>
      </c>
      <c r="H6" s="4" t="str">
        <f>GANADOR_MARCADOR_POLLA('Pollas Cuartos de Final'!J6,'Pollas Cuartos de Final'!$J$2,'Pollas Cuartos de Final'!K6,'Pollas Cuartos de Final'!$K$2)</f>
        <v>Francia</v>
      </c>
      <c r="I6" s="4">
        <f>PUNTAJE_GANADORES('Pollas Cuartos de Final'!J6,'Resultados Oficiales Cuartos de'!$C$5,'Pollas Cuartos de Final'!K6,'Resultados Oficiales Cuartos de'!$D$5,H6,'Resultados Oficiales Cuartos de'!$F$5)</f>
        <v>5</v>
      </c>
      <c r="J6" s="17">
        <f t="shared" si="1"/>
        <v>9</v>
      </c>
    </row>
    <row r="7">
      <c r="A7" s="10" t="str">
        <f>'Pollas Cuartos de Final'!C7</f>
        <v>Alejandro Botero</v>
      </c>
      <c r="B7" s="4" t="str">
        <f>GANADOR_MARCADOR_POLLA('Pollas Cuartos de Final'!D7,'Pollas Cuartos de Final'!$D$2,'Pollas Cuartos de Final'!E7,'Pollas Cuartos de Final'!$E$2)</f>
        <v>Brasil</v>
      </c>
      <c r="C7" s="4">
        <f>PUNTAJE_GANADORES('Pollas Cuartos de Final'!D7,'Resultados Oficiales Cuartos de'!$C$2,'Pollas Cuartos de Final'!E7,'Resultados Oficiales Cuartos de'!$D$2,B7,'Resultados Oficiales Cuartos de'!$F$2)</f>
        <v>1</v>
      </c>
      <c r="D7" s="4" t="str">
        <f>GANADOR_MARCADOR_POLLA('Pollas Cuartos de Final'!F7,'Pollas Cuartos de Final'!$F$2,'Pollas Cuartos de Final'!G7,'Pollas Cuartos de Final'!$G$2)</f>
        <v>EMPATE</v>
      </c>
      <c r="E7" s="4">
        <f>PUNTAJE_GANADORES('Pollas Cuartos de Final'!F7,'Resultados Oficiales Cuartos de'!$C$3,'Pollas Cuartos de Final'!G7,'Resultados Oficiales Cuartos de'!$D$3,D7,'Resultados Oficiales Cuartos de'!$F$3)</f>
        <v>1</v>
      </c>
      <c r="F7" s="4" t="str">
        <f>GANADOR_MARCADOR_POLLA('Pollas Cuartos de Final'!H7,'Pollas Cuartos de Final'!$H$2,'Pollas Cuartos de Final'!I7,'Pollas Cuartos de Final'!$I$2)</f>
        <v>Portugal</v>
      </c>
      <c r="G7" s="4">
        <f>PUNTAJE_GANADORES('Pollas Cuartos de Final'!H7,'Resultados Oficiales Cuartos de'!$C$4,'Pollas Cuartos de Final'!I7,'Resultados Oficiales Cuartos de'!$D$4,F7,'Resultados Oficiales Cuartos de'!$F$4)</f>
        <v>1</v>
      </c>
      <c r="H7" s="4" t="str">
        <f>GANADOR_MARCADOR_POLLA('Pollas Cuartos de Final'!J7,'Pollas Cuartos de Final'!$J$2,'Pollas Cuartos de Final'!K7,'Pollas Cuartos de Final'!$K$2)</f>
        <v>EMPATE</v>
      </c>
      <c r="I7" s="4">
        <f>PUNTAJE_GANADORES('Pollas Cuartos de Final'!J7,'Resultados Oficiales Cuartos de'!$C$5,'Pollas Cuartos de Final'!K7,'Resultados Oficiales Cuartos de'!$D$5,H7,'Resultados Oficiales Cuartos de'!$F$5)</f>
        <v>1</v>
      </c>
      <c r="J7" s="17">
        <f t="shared" si="1"/>
        <v>4</v>
      </c>
    </row>
    <row r="8">
      <c r="A8" s="10" t="str">
        <f>'Pollas Cuartos de Final'!C8</f>
        <v>La qatarsis mundial</v>
      </c>
      <c r="B8" s="4" t="str">
        <f>GANADOR_MARCADOR_POLLA('Pollas Cuartos de Final'!D8,'Pollas Cuartos de Final'!$D$2,'Pollas Cuartos de Final'!E8,'Pollas Cuartos de Final'!$E$2)</f>
        <v>Brasil</v>
      </c>
      <c r="C8" s="4">
        <f>PUNTAJE_GANADORES('Pollas Cuartos de Final'!D8,'Resultados Oficiales Cuartos de'!$C$2,'Pollas Cuartos de Final'!E8,'Resultados Oficiales Cuartos de'!$D$2,B8,'Resultados Oficiales Cuartos de'!$F$2)</f>
        <v>0</v>
      </c>
      <c r="D8" s="4" t="str">
        <f>GANADOR_MARCADOR_POLLA('Pollas Cuartos de Final'!F8,'Pollas Cuartos de Final'!$F$2,'Pollas Cuartos de Final'!G8,'Pollas Cuartos de Final'!$G$2)</f>
        <v>EMPATE</v>
      </c>
      <c r="E8" s="4">
        <f>PUNTAJE_GANADORES('Pollas Cuartos de Final'!F8,'Resultados Oficiales Cuartos de'!$C$3,'Pollas Cuartos de Final'!G8,'Resultados Oficiales Cuartos de'!$D$3,D8,'Resultados Oficiales Cuartos de'!$F$3)</f>
        <v>5</v>
      </c>
      <c r="F8" s="4" t="str">
        <f>GANADOR_MARCADOR_POLLA('Pollas Cuartos de Final'!H8,'Pollas Cuartos de Final'!$H$2,'Pollas Cuartos de Final'!I8,'Pollas Cuartos de Final'!$I$2)</f>
        <v>Portugal</v>
      </c>
      <c r="G8" s="4">
        <f>PUNTAJE_GANADORES('Pollas Cuartos de Final'!H8,'Resultados Oficiales Cuartos de'!$C$4,'Pollas Cuartos de Final'!I8,'Resultados Oficiales Cuartos de'!$D$4,F8,'Resultados Oficiales Cuartos de'!$F$4)</f>
        <v>1</v>
      </c>
      <c r="H8" s="4" t="str">
        <f>GANADOR_MARCADOR_POLLA('Pollas Cuartos de Final'!J8,'Pollas Cuartos de Final'!$J$2,'Pollas Cuartos de Final'!K8,'Pollas Cuartos de Final'!$K$2)</f>
        <v>Francia</v>
      </c>
      <c r="I8" s="4">
        <f>PUNTAJE_GANADORES('Pollas Cuartos de Final'!J8,'Resultados Oficiales Cuartos de'!$C$5,'Pollas Cuartos de Final'!K8,'Resultados Oficiales Cuartos de'!$D$5,H8,'Resultados Oficiales Cuartos de'!$F$5)</f>
        <v>5</v>
      </c>
      <c r="J8" s="17">
        <f t="shared" si="1"/>
        <v>11</v>
      </c>
    </row>
    <row r="9">
      <c r="A9" s="10" t="str">
        <f>'Pollas Cuartos de Final'!C9</f>
        <v>Lore Mira</v>
      </c>
      <c r="B9" s="4" t="str">
        <f>GANADOR_MARCADOR_POLLA('Pollas Cuartos de Final'!D9,'Pollas Cuartos de Final'!$D$2,'Pollas Cuartos de Final'!E9,'Pollas Cuartos de Final'!$E$2)</f>
        <v>Croacia</v>
      </c>
      <c r="C9" s="4">
        <f>PUNTAJE_GANADORES('Pollas Cuartos de Final'!D9,'Resultados Oficiales Cuartos de'!$C$2,'Pollas Cuartos de Final'!E9,'Resultados Oficiales Cuartos de'!$D$2,B9,'Resultados Oficiales Cuartos de'!$F$2)</f>
        <v>1</v>
      </c>
      <c r="D9" s="4" t="str">
        <f>GANADOR_MARCADOR_POLLA('Pollas Cuartos de Final'!F9,'Pollas Cuartos de Final'!$F$2,'Pollas Cuartos de Final'!G9,'Pollas Cuartos de Final'!$G$2)</f>
        <v>Paises Bajos</v>
      </c>
      <c r="E9" s="4">
        <f>PUNTAJE_GANADORES('Pollas Cuartos de Final'!F9,'Resultados Oficiales Cuartos de'!$C$3,'Pollas Cuartos de Final'!G9,'Resultados Oficiales Cuartos de'!$D$3,D9,'Resultados Oficiales Cuartos de'!$F$3)</f>
        <v>0</v>
      </c>
      <c r="F9" s="4" t="str">
        <f>GANADOR_MARCADOR_POLLA('Pollas Cuartos de Final'!H9,'Pollas Cuartos de Final'!$H$2,'Pollas Cuartos de Final'!I9,'Pollas Cuartos de Final'!$I$2)</f>
        <v>Marruecos</v>
      </c>
      <c r="G9" s="4">
        <f>PUNTAJE_GANADORES('Pollas Cuartos de Final'!H9,'Resultados Oficiales Cuartos de'!$C$4,'Pollas Cuartos de Final'!I9,'Resultados Oficiales Cuartos de'!$D$4,F9,'Resultados Oficiales Cuartos de'!$F$4)</f>
        <v>3</v>
      </c>
      <c r="H9" s="4" t="str">
        <f>GANADOR_MARCADOR_POLLA('Pollas Cuartos de Final'!J9,'Pollas Cuartos de Final'!$J$2,'Pollas Cuartos de Final'!K9,'Pollas Cuartos de Final'!$K$2)</f>
        <v>EMPATE</v>
      </c>
      <c r="I9" s="4">
        <f>PUNTAJE_GANADORES('Pollas Cuartos de Final'!J9,'Resultados Oficiales Cuartos de'!$C$5,'Pollas Cuartos de Final'!K9,'Resultados Oficiales Cuartos de'!$D$5,H9,'Resultados Oficiales Cuartos de'!$F$5)</f>
        <v>1</v>
      </c>
      <c r="J9" s="17">
        <f t="shared" si="1"/>
        <v>5</v>
      </c>
    </row>
    <row r="10">
      <c r="A10" s="10" t="str">
        <f>'Pollas Cuartos de Final'!C10</f>
        <v>Pregunte por lo que no vea</v>
      </c>
      <c r="B10" s="4" t="str">
        <f>GANADOR_MARCADOR_POLLA('Pollas Cuartos de Final'!D10,'Pollas Cuartos de Final'!$D$2,'Pollas Cuartos de Final'!E10,'Pollas Cuartos de Final'!$E$2)</f>
        <v>Brasil</v>
      </c>
      <c r="C10" s="4">
        <f>PUNTAJE_GANADORES('Pollas Cuartos de Final'!D10,'Resultados Oficiales Cuartos de'!$C$2,'Pollas Cuartos de Final'!E10,'Resultados Oficiales Cuartos de'!$D$2,B10,'Resultados Oficiales Cuartos de'!$F$2)</f>
        <v>0</v>
      </c>
      <c r="D10" s="4" t="str">
        <f>GANADOR_MARCADOR_POLLA('Pollas Cuartos de Final'!F10,'Pollas Cuartos de Final'!$F$2,'Pollas Cuartos de Final'!G10,'Pollas Cuartos de Final'!$G$2)</f>
        <v>Argentina</v>
      </c>
      <c r="E10" s="4">
        <f>PUNTAJE_GANADORES('Pollas Cuartos de Final'!F10,'Resultados Oficiales Cuartos de'!$C$3,'Pollas Cuartos de Final'!G10,'Resultados Oficiales Cuartos de'!$D$3,D10,'Resultados Oficiales Cuartos de'!$F$3)</f>
        <v>1</v>
      </c>
      <c r="F10" s="4" t="str">
        <f>GANADOR_MARCADOR_POLLA('Pollas Cuartos de Final'!H10,'Pollas Cuartos de Final'!$H$2,'Pollas Cuartos de Final'!I10,'Pollas Cuartos de Final'!$I$2)</f>
        <v>Marruecos</v>
      </c>
      <c r="G10" s="4">
        <f>PUNTAJE_GANADORES('Pollas Cuartos de Final'!H10,'Resultados Oficiales Cuartos de'!$C$4,'Pollas Cuartos de Final'!I10,'Resultados Oficiales Cuartos de'!$D$4,F10,'Resultados Oficiales Cuartos de'!$F$4)</f>
        <v>2</v>
      </c>
      <c r="H10" s="4" t="str">
        <f>GANADOR_MARCADOR_POLLA('Pollas Cuartos de Final'!J10,'Pollas Cuartos de Final'!$J$2,'Pollas Cuartos de Final'!K10,'Pollas Cuartos de Final'!$K$2)</f>
        <v>Francia</v>
      </c>
      <c r="I10" s="4">
        <f>PUNTAJE_GANADORES('Pollas Cuartos de Final'!J10,'Resultados Oficiales Cuartos de'!$C$5,'Pollas Cuartos de Final'!K10,'Resultados Oficiales Cuartos de'!$D$5,H10,'Resultados Oficiales Cuartos de'!$F$5)</f>
        <v>3</v>
      </c>
      <c r="J10" s="17">
        <f t="shared" si="1"/>
        <v>6</v>
      </c>
    </row>
    <row r="11">
      <c r="A11" s="10" t="str">
        <f>'Pollas Cuartos de Final'!C11</f>
        <v>Casa VIII</v>
      </c>
      <c r="B11" s="4" t="str">
        <f>GANADOR_MARCADOR_POLLA('Pollas Cuartos de Final'!D11,'Pollas Cuartos de Final'!$D$2,'Pollas Cuartos de Final'!E11,'Pollas Cuartos de Final'!$E$2)</f>
        <v>Brasil</v>
      </c>
      <c r="C11" s="4">
        <f>PUNTAJE_GANADORES('Pollas Cuartos de Final'!D11,'Resultados Oficiales Cuartos de'!$C$2,'Pollas Cuartos de Final'!E11,'Resultados Oficiales Cuartos de'!$D$2,B11,'Resultados Oficiales Cuartos de'!$F$2)</f>
        <v>0</v>
      </c>
      <c r="D11" s="4" t="str">
        <f>GANADOR_MARCADOR_POLLA('Pollas Cuartos de Final'!F11,'Pollas Cuartos de Final'!$F$2,'Pollas Cuartos de Final'!G11,'Pollas Cuartos de Final'!$G$2)</f>
        <v>Argentina</v>
      </c>
      <c r="E11" s="4">
        <f>PUNTAJE_GANADORES('Pollas Cuartos de Final'!F11,'Resultados Oficiales Cuartos de'!$C$3,'Pollas Cuartos de Final'!G11,'Resultados Oficiales Cuartos de'!$D$3,D11,'Resultados Oficiales Cuartos de'!$F$3)</f>
        <v>1</v>
      </c>
      <c r="F11" s="4" t="str">
        <f>GANADOR_MARCADOR_POLLA('Pollas Cuartos de Final'!H11,'Pollas Cuartos de Final'!$H$2,'Pollas Cuartos de Final'!I11,'Pollas Cuartos de Final'!$I$2)</f>
        <v>Portugal</v>
      </c>
      <c r="G11" s="4">
        <f>PUNTAJE_GANADORES('Pollas Cuartos de Final'!H11,'Resultados Oficiales Cuartos de'!$C$4,'Pollas Cuartos de Final'!I11,'Resultados Oficiales Cuartos de'!$D$4,F11,'Resultados Oficiales Cuartos de'!$F$4)</f>
        <v>0</v>
      </c>
      <c r="H11" s="4" t="str">
        <f>GANADOR_MARCADOR_POLLA('Pollas Cuartos de Final'!J11,'Pollas Cuartos de Final'!$J$2,'Pollas Cuartos de Final'!K11,'Pollas Cuartos de Final'!$K$2)</f>
        <v>EMPATE</v>
      </c>
      <c r="I11" s="4">
        <f>PUNTAJE_GANADORES('Pollas Cuartos de Final'!J11,'Resultados Oficiales Cuartos de'!$C$5,'Pollas Cuartos de Final'!K11,'Resultados Oficiales Cuartos de'!$D$5,H11,'Resultados Oficiales Cuartos de'!$F$5)</f>
        <v>1</v>
      </c>
      <c r="J11" s="17">
        <f t="shared" si="1"/>
        <v>2</v>
      </c>
    </row>
    <row r="12">
      <c r="A12" s="10" t="str">
        <f>'Pollas Cuartos de Final'!C12</f>
        <v>Alex Garcia</v>
      </c>
      <c r="B12" s="4" t="str">
        <f>GANADOR_MARCADOR_POLLA('Pollas Cuartos de Final'!D12,'Pollas Cuartos de Final'!$D$2,'Pollas Cuartos de Final'!E12,'Pollas Cuartos de Final'!$E$2)</f>
        <v>Brasil</v>
      </c>
      <c r="C12" s="4">
        <f>PUNTAJE_GANADORES('Pollas Cuartos de Final'!D12,'Resultados Oficiales Cuartos de'!$C$2,'Pollas Cuartos de Final'!E12,'Resultados Oficiales Cuartos de'!$D$2,B12,'Resultados Oficiales Cuartos de'!$F$2)</f>
        <v>0</v>
      </c>
      <c r="D12" s="4" t="str">
        <f>GANADOR_MARCADOR_POLLA('Pollas Cuartos de Final'!F12,'Pollas Cuartos de Final'!$F$2,'Pollas Cuartos de Final'!G12,'Pollas Cuartos de Final'!$G$2)</f>
        <v>Argentina</v>
      </c>
      <c r="E12" s="4">
        <f>PUNTAJE_GANADORES('Pollas Cuartos de Final'!F12,'Resultados Oficiales Cuartos de'!$C$3,'Pollas Cuartos de Final'!G12,'Resultados Oficiales Cuartos de'!$D$3,D12,'Resultados Oficiales Cuartos de'!$F$3)</f>
        <v>0</v>
      </c>
      <c r="F12" s="4" t="str">
        <f>GANADOR_MARCADOR_POLLA('Pollas Cuartos de Final'!H12,'Pollas Cuartos de Final'!$H$2,'Pollas Cuartos de Final'!I12,'Pollas Cuartos de Final'!$I$2)</f>
        <v>Portugal</v>
      </c>
      <c r="G12" s="4">
        <f>PUNTAJE_GANADORES('Pollas Cuartos de Final'!H12,'Resultados Oficiales Cuartos de'!$C$4,'Pollas Cuartos de Final'!I12,'Resultados Oficiales Cuartos de'!$D$4,F12,'Resultados Oficiales Cuartos de'!$F$4)</f>
        <v>1</v>
      </c>
      <c r="H12" s="4" t="str">
        <f>GANADOR_MARCADOR_POLLA('Pollas Cuartos de Final'!J12,'Pollas Cuartos de Final'!$J$2,'Pollas Cuartos de Final'!K12,'Pollas Cuartos de Final'!$K$2)</f>
        <v>EMPATE</v>
      </c>
      <c r="I12" s="4">
        <f>PUNTAJE_GANADORES('Pollas Cuartos de Final'!J12,'Resultados Oficiales Cuartos de'!$C$5,'Pollas Cuartos de Final'!K12,'Resultados Oficiales Cuartos de'!$D$5,H12,'Resultados Oficiales Cuartos de'!$F$5)</f>
        <v>1</v>
      </c>
      <c r="J12" s="17">
        <f t="shared" si="1"/>
        <v>2</v>
      </c>
    </row>
    <row r="13">
      <c r="A13" s="10" t="str">
        <f>'Pollas Cuartos de Final'!C13</f>
        <v>Marta Restrepo</v>
      </c>
      <c r="B13" s="4" t="str">
        <f>GANADOR_MARCADOR_POLLA('Pollas Cuartos de Final'!D13,'Pollas Cuartos de Final'!$D$2,'Pollas Cuartos de Final'!E13,'Pollas Cuartos de Final'!$E$2)</f>
        <v>Brasil</v>
      </c>
      <c r="C13" s="4">
        <f>PUNTAJE_GANADORES('Pollas Cuartos de Final'!D13,'Resultados Oficiales Cuartos de'!$C$2,'Pollas Cuartos de Final'!E13,'Resultados Oficiales Cuartos de'!$D$2,B13,'Resultados Oficiales Cuartos de'!$F$2)</f>
        <v>0</v>
      </c>
      <c r="D13" s="4" t="str">
        <f>GANADOR_MARCADOR_POLLA('Pollas Cuartos de Final'!F13,'Pollas Cuartos de Final'!$F$2,'Pollas Cuartos de Final'!G13,'Pollas Cuartos de Final'!$G$2)</f>
        <v>Argentina</v>
      </c>
      <c r="E13" s="4">
        <f>PUNTAJE_GANADORES('Pollas Cuartos de Final'!F13,'Resultados Oficiales Cuartos de'!$C$3,'Pollas Cuartos de Final'!G13,'Resultados Oficiales Cuartos de'!$D$3,D13,'Resultados Oficiales Cuartos de'!$F$3)</f>
        <v>0</v>
      </c>
      <c r="F13" s="4" t="str">
        <f>GANADOR_MARCADOR_POLLA('Pollas Cuartos de Final'!H13,'Pollas Cuartos de Final'!$H$2,'Pollas Cuartos de Final'!I13,'Pollas Cuartos de Final'!$I$2)</f>
        <v>EMPATE</v>
      </c>
      <c r="G13" s="4">
        <f>PUNTAJE_GANADORES('Pollas Cuartos de Final'!H13,'Resultados Oficiales Cuartos de'!$C$4,'Pollas Cuartos de Final'!I13,'Resultados Oficiales Cuartos de'!$D$4,F13,'Resultados Oficiales Cuartos de'!$F$4)</f>
        <v>1</v>
      </c>
      <c r="H13" s="4" t="str">
        <f>GANADOR_MARCADOR_POLLA('Pollas Cuartos de Final'!J13,'Pollas Cuartos de Final'!$J$2,'Pollas Cuartos de Final'!K13,'Pollas Cuartos de Final'!$K$2)</f>
        <v>EMPATE</v>
      </c>
      <c r="I13" s="4">
        <f>PUNTAJE_GANADORES('Pollas Cuartos de Final'!J13,'Resultados Oficiales Cuartos de'!$C$5,'Pollas Cuartos de Final'!K13,'Resultados Oficiales Cuartos de'!$D$5,H13,'Resultados Oficiales Cuartos de'!$F$5)</f>
        <v>1</v>
      </c>
      <c r="J13" s="17">
        <f t="shared" si="1"/>
        <v>2</v>
      </c>
    </row>
    <row r="14">
      <c r="A14" s="10" t="str">
        <f>'Pollas Cuartos de Final'!C14</f>
        <v>Mauricio Perez (Mauro chef)</v>
      </c>
      <c r="B14" s="4" t="str">
        <f>GANADOR_MARCADOR_POLLA('Pollas Cuartos de Final'!D14,'Pollas Cuartos de Final'!$D$2,'Pollas Cuartos de Final'!E14,'Pollas Cuartos de Final'!$E$2)</f>
        <v>Brasil</v>
      </c>
      <c r="C14" s="4">
        <f>PUNTAJE_GANADORES('Pollas Cuartos de Final'!D14,'Resultados Oficiales Cuartos de'!$C$2,'Pollas Cuartos de Final'!E14,'Resultados Oficiales Cuartos de'!$D$2,B14,'Resultados Oficiales Cuartos de'!$F$2)</f>
        <v>0</v>
      </c>
      <c r="D14" s="4" t="str">
        <f>GANADOR_MARCADOR_POLLA('Pollas Cuartos de Final'!F14,'Pollas Cuartos de Final'!$F$2,'Pollas Cuartos de Final'!G14,'Pollas Cuartos de Final'!$G$2)</f>
        <v>Paises Bajos</v>
      </c>
      <c r="E14" s="4">
        <f>PUNTAJE_GANADORES('Pollas Cuartos de Final'!F14,'Resultados Oficiales Cuartos de'!$C$3,'Pollas Cuartos de Final'!G14,'Resultados Oficiales Cuartos de'!$D$3,D14,'Resultados Oficiales Cuartos de'!$F$3)</f>
        <v>1</v>
      </c>
      <c r="F14" s="4" t="str">
        <f>GANADOR_MARCADOR_POLLA('Pollas Cuartos de Final'!H14,'Pollas Cuartos de Final'!$H$2,'Pollas Cuartos de Final'!I14,'Pollas Cuartos de Final'!$I$2)</f>
        <v>Portugal</v>
      </c>
      <c r="G14" s="4">
        <f>PUNTAJE_GANADORES('Pollas Cuartos de Final'!H14,'Resultados Oficiales Cuartos de'!$C$4,'Pollas Cuartos de Final'!I14,'Resultados Oficiales Cuartos de'!$D$4,F14,'Resultados Oficiales Cuartos de'!$F$4)</f>
        <v>0</v>
      </c>
      <c r="H14" s="4" t="str">
        <f>GANADOR_MARCADOR_POLLA('Pollas Cuartos de Final'!J14,'Pollas Cuartos de Final'!$J$2,'Pollas Cuartos de Final'!K14,'Pollas Cuartos de Final'!$K$2)</f>
        <v>Francia</v>
      </c>
      <c r="I14" s="4">
        <f>PUNTAJE_GANADORES('Pollas Cuartos de Final'!J14,'Resultados Oficiales Cuartos de'!$C$5,'Pollas Cuartos de Final'!K14,'Resultados Oficiales Cuartos de'!$D$5,H14,'Resultados Oficiales Cuartos de'!$F$5)</f>
        <v>5</v>
      </c>
      <c r="J14" s="17">
        <f t="shared" si="1"/>
        <v>6</v>
      </c>
    </row>
    <row r="15">
      <c r="A15" s="10" t="str">
        <f>'Pollas Cuartos de Final'!C15</f>
        <v>Pascual</v>
      </c>
      <c r="B15" s="4" t="str">
        <f>GANADOR_MARCADOR_POLLA('Pollas Cuartos de Final'!D15,'Pollas Cuartos de Final'!$D$2,'Pollas Cuartos de Final'!E15,'Pollas Cuartos de Final'!$E$2)</f>
        <v>Brasil</v>
      </c>
      <c r="C15" s="4">
        <f>PUNTAJE_GANADORES('Pollas Cuartos de Final'!D15,'Resultados Oficiales Cuartos de'!$C$2,'Pollas Cuartos de Final'!E15,'Resultados Oficiales Cuartos de'!$D$2,B15,'Resultados Oficiales Cuartos de'!$F$2)</f>
        <v>0</v>
      </c>
      <c r="D15" s="4" t="str">
        <f>GANADOR_MARCADOR_POLLA('Pollas Cuartos de Final'!F15,'Pollas Cuartos de Final'!$F$2,'Pollas Cuartos de Final'!G15,'Pollas Cuartos de Final'!$G$2)</f>
        <v>EMPATE</v>
      </c>
      <c r="E15" s="4">
        <f>PUNTAJE_GANADORES('Pollas Cuartos de Final'!F15,'Resultados Oficiales Cuartos de'!$C$3,'Pollas Cuartos de Final'!G15,'Resultados Oficiales Cuartos de'!$D$3,D15,'Resultados Oficiales Cuartos de'!$F$3)</f>
        <v>1</v>
      </c>
      <c r="F15" s="4" t="str">
        <f>GANADOR_MARCADOR_POLLA('Pollas Cuartos de Final'!H15,'Pollas Cuartos de Final'!$H$2,'Pollas Cuartos de Final'!I15,'Pollas Cuartos de Final'!$I$2)</f>
        <v>Portugal</v>
      </c>
      <c r="G15" s="4">
        <f>PUNTAJE_GANADORES('Pollas Cuartos de Final'!H15,'Resultados Oficiales Cuartos de'!$C$4,'Pollas Cuartos de Final'!I15,'Resultados Oficiales Cuartos de'!$D$4,F15,'Resultados Oficiales Cuartos de'!$F$4)</f>
        <v>1</v>
      </c>
      <c r="H15" s="4" t="str">
        <f>GANADOR_MARCADOR_POLLA('Pollas Cuartos de Final'!J15,'Pollas Cuartos de Final'!$J$2,'Pollas Cuartos de Final'!K15,'Pollas Cuartos de Final'!$K$2)</f>
        <v>EMPATE</v>
      </c>
      <c r="I15" s="4">
        <f>PUNTAJE_GANADORES('Pollas Cuartos de Final'!J15,'Resultados Oficiales Cuartos de'!$C$5,'Pollas Cuartos de Final'!K15,'Resultados Oficiales Cuartos de'!$D$5,H15,'Resultados Oficiales Cuartos de'!$F$5)</f>
        <v>1</v>
      </c>
      <c r="J15" s="17">
        <f t="shared" si="1"/>
        <v>3</v>
      </c>
    </row>
    <row r="16">
      <c r="A16" s="10" t="str">
        <f>'Pollas Cuartos de Final'!C16</f>
        <v>TV y Novelas</v>
      </c>
      <c r="B16" s="4" t="str">
        <f>GANADOR_MARCADOR_POLLA('Pollas Cuartos de Final'!D16,'Pollas Cuartos de Final'!$D$2,'Pollas Cuartos de Final'!E16,'Pollas Cuartos de Final'!$E$2)</f>
        <v>Brasil</v>
      </c>
      <c r="C16" s="4">
        <f>PUNTAJE_GANADORES('Pollas Cuartos de Final'!D16,'Resultados Oficiales Cuartos de'!$C$2,'Pollas Cuartos de Final'!E16,'Resultados Oficiales Cuartos de'!$D$2,B16,'Resultados Oficiales Cuartos de'!$F$2)</f>
        <v>0</v>
      </c>
      <c r="D16" s="4" t="str">
        <f>GANADOR_MARCADOR_POLLA('Pollas Cuartos de Final'!F16,'Pollas Cuartos de Final'!$F$2,'Pollas Cuartos de Final'!G16,'Pollas Cuartos de Final'!$G$2)</f>
        <v>Argentina</v>
      </c>
      <c r="E16" s="4">
        <f>PUNTAJE_GANADORES('Pollas Cuartos de Final'!F16,'Resultados Oficiales Cuartos de'!$C$3,'Pollas Cuartos de Final'!G16,'Resultados Oficiales Cuartos de'!$D$3,D16,'Resultados Oficiales Cuartos de'!$F$3)</f>
        <v>1</v>
      </c>
      <c r="F16" s="4" t="str">
        <f>GANADOR_MARCADOR_POLLA('Pollas Cuartos de Final'!H16,'Pollas Cuartos de Final'!$H$2,'Pollas Cuartos de Final'!I16,'Pollas Cuartos de Final'!$I$2)</f>
        <v>Portugal</v>
      </c>
      <c r="G16" s="4">
        <f>PUNTAJE_GANADORES('Pollas Cuartos de Final'!H16,'Resultados Oficiales Cuartos de'!$C$4,'Pollas Cuartos de Final'!I16,'Resultados Oficiales Cuartos de'!$D$4,F16,'Resultados Oficiales Cuartos de'!$F$4)</f>
        <v>0</v>
      </c>
      <c r="H16" s="4" t="str">
        <f>GANADOR_MARCADOR_POLLA('Pollas Cuartos de Final'!J16,'Pollas Cuartos de Final'!$J$2,'Pollas Cuartos de Final'!K16,'Pollas Cuartos de Final'!$K$2)</f>
        <v>Francia</v>
      </c>
      <c r="I16" s="4">
        <f>PUNTAJE_GANADORES('Pollas Cuartos de Final'!J16,'Resultados Oficiales Cuartos de'!$C$5,'Pollas Cuartos de Final'!K16,'Resultados Oficiales Cuartos de'!$D$5,H16,'Resultados Oficiales Cuartos de'!$F$5)</f>
        <v>5</v>
      </c>
      <c r="J16" s="17">
        <f t="shared" si="1"/>
        <v>6</v>
      </c>
    </row>
    <row r="17">
      <c r="A17" s="10" t="str">
        <f>'Pollas Cuartos de Final'!C17</f>
        <v>Ana Maria Corpas</v>
      </c>
      <c r="B17" s="4" t="str">
        <f>GANADOR_MARCADOR_POLLA('Pollas Cuartos de Final'!D17,'Pollas Cuartos de Final'!$D$2,'Pollas Cuartos de Final'!E17,'Pollas Cuartos de Final'!$E$2)</f>
        <v>Brasil</v>
      </c>
      <c r="C17" s="4">
        <f>PUNTAJE_GANADORES('Pollas Cuartos de Final'!D17,'Resultados Oficiales Cuartos de'!$C$2,'Pollas Cuartos de Final'!E17,'Resultados Oficiales Cuartos de'!$D$2,B17,'Resultados Oficiales Cuartos de'!$F$2)</f>
        <v>0</v>
      </c>
      <c r="D17" s="4" t="str">
        <f>GANADOR_MARCADOR_POLLA('Pollas Cuartos de Final'!F17,'Pollas Cuartos de Final'!$F$2,'Pollas Cuartos de Final'!G17,'Pollas Cuartos de Final'!$G$2)</f>
        <v>EMPATE</v>
      </c>
      <c r="E17" s="4">
        <f>PUNTAJE_GANADORES('Pollas Cuartos de Final'!F17,'Resultados Oficiales Cuartos de'!$C$3,'Pollas Cuartos de Final'!G17,'Resultados Oficiales Cuartos de'!$D$3,D17,'Resultados Oficiales Cuartos de'!$F$3)</f>
        <v>5</v>
      </c>
      <c r="F17" s="4" t="str">
        <f>GANADOR_MARCADOR_POLLA('Pollas Cuartos de Final'!H17,'Pollas Cuartos de Final'!$H$2,'Pollas Cuartos de Final'!I17,'Pollas Cuartos de Final'!$I$2)</f>
        <v>Portugal</v>
      </c>
      <c r="G17" s="4">
        <f>PUNTAJE_GANADORES('Pollas Cuartos de Final'!H17,'Resultados Oficiales Cuartos de'!$C$4,'Pollas Cuartos de Final'!I17,'Resultados Oficiales Cuartos de'!$D$4,F17,'Resultados Oficiales Cuartos de'!$F$4)</f>
        <v>1</v>
      </c>
      <c r="H17" s="4" t="str">
        <f>GANADOR_MARCADOR_POLLA('Pollas Cuartos de Final'!J17,'Pollas Cuartos de Final'!$J$2,'Pollas Cuartos de Final'!K17,'Pollas Cuartos de Final'!$K$2)</f>
        <v>Inglaterra</v>
      </c>
      <c r="I17" s="4">
        <f>PUNTAJE_GANADORES('Pollas Cuartos de Final'!J17,'Resultados Oficiales Cuartos de'!$C$5,'Pollas Cuartos de Final'!K17,'Resultados Oficiales Cuartos de'!$D$5,H17,'Resultados Oficiales Cuartos de'!$F$5)</f>
        <v>0</v>
      </c>
      <c r="J17" s="17">
        <f t="shared" si="1"/>
        <v>6</v>
      </c>
    </row>
    <row r="18">
      <c r="A18" s="10" t="str">
        <f>'Pollas Cuartos de Final'!C18</f>
        <v>Las tejedoras</v>
      </c>
      <c r="B18" s="4" t="str">
        <f>GANADOR_MARCADOR_POLLA('Pollas Cuartos de Final'!D18,'Pollas Cuartos de Final'!$D$2,'Pollas Cuartos de Final'!E18,'Pollas Cuartos de Final'!$E$2)</f>
        <v>Brasil</v>
      </c>
      <c r="C18" s="4">
        <f>PUNTAJE_GANADORES('Pollas Cuartos de Final'!D18,'Resultados Oficiales Cuartos de'!$C$2,'Pollas Cuartos de Final'!E18,'Resultados Oficiales Cuartos de'!$D$2,B18,'Resultados Oficiales Cuartos de'!$F$2)</f>
        <v>0</v>
      </c>
      <c r="D18" s="4" t="str">
        <f>GANADOR_MARCADOR_POLLA('Pollas Cuartos de Final'!F18,'Pollas Cuartos de Final'!$F$2,'Pollas Cuartos de Final'!G18,'Pollas Cuartos de Final'!$G$2)</f>
        <v>Argentina</v>
      </c>
      <c r="E18" s="4">
        <f>PUNTAJE_GANADORES('Pollas Cuartos de Final'!F18,'Resultados Oficiales Cuartos de'!$C$3,'Pollas Cuartos de Final'!G18,'Resultados Oficiales Cuartos de'!$D$3,D18,'Resultados Oficiales Cuartos de'!$F$3)</f>
        <v>0</v>
      </c>
      <c r="F18" s="4" t="str">
        <f>GANADOR_MARCADOR_POLLA('Pollas Cuartos de Final'!H18,'Pollas Cuartos de Final'!$H$2,'Pollas Cuartos de Final'!I18,'Pollas Cuartos de Final'!$I$2)</f>
        <v>Marruecos</v>
      </c>
      <c r="G18" s="4">
        <f>PUNTAJE_GANADORES('Pollas Cuartos de Final'!H18,'Resultados Oficiales Cuartos de'!$C$4,'Pollas Cuartos de Final'!I18,'Resultados Oficiales Cuartos de'!$D$4,F18,'Resultados Oficiales Cuartos de'!$F$4)</f>
        <v>3</v>
      </c>
      <c r="H18" s="4" t="str">
        <f>GANADOR_MARCADOR_POLLA('Pollas Cuartos de Final'!J18,'Pollas Cuartos de Final'!$J$2,'Pollas Cuartos de Final'!K18,'Pollas Cuartos de Final'!$K$2)</f>
        <v>EMPATE</v>
      </c>
      <c r="I18" s="4">
        <f>PUNTAJE_GANADORES('Pollas Cuartos de Final'!J18,'Resultados Oficiales Cuartos de'!$C$5,'Pollas Cuartos de Final'!K18,'Resultados Oficiales Cuartos de'!$D$5,H18,'Resultados Oficiales Cuartos de'!$F$5)</f>
        <v>1</v>
      </c>
      <c r="J18" s="17">
        <f t="shared" si="1"/>
        <v>4</v>
      </c>
    </row>
    <row r="19">
      <c r="A19" s="10" t="str">
        <f>'Pollas Cuartos de Final'!C19</f>
        <v>Andres &amp; Cia</v>
      </c>
      <c r="B19" s="4" t="str">
        <f>GANADOR_MARCADOR_POLLA('Pollas Cuartos de Final'!D19,'Pollas Cuartos de Final'!$D$2,'Pollas Cuartos de Final'!E19,'Pollas Cuartos de Final'!$E$2)</f>
        <v>Brasil</v>
      </c>
      <c r="C19" s="4">
        <f>PUNTAJE_GANADORES('Pollas Cuartos de Final'!D19,'Resultados Oficiales Cuartos de'!$C$2,'Pollas Cuartos de Final'!E19,'Resultados Oficiales Cuartos de'!$D$2,B19,'Resultados Oficiales Cuartos de'!$F$2)</f>
        <v>0</v>
      </c>
      <c r="D19" s="4" t="str">
        <f>GANADOR_MARCADOR_POLLA('Pollas Cuartos de Final'!F19,'Pollas Cuartos de Final'!$F$2,'Pollas Cuartos de Final'!G19,'Pollas Cuartos de Final'!$G$2)</f>
        <v>EMPATE</v>
      </c>
      <c r="E19" s="4">
        <f>PUNTAJE_GANADORES('Pollas Cuartos de Final'!F19,'Resultados Oficiales Cuartos de'!$C$3,'Pollas Cuartos de Final'!G19,'Resultados Oficiales Cuartos de'!$D$3,D19,'Resultados Oficiales Cuartos de'!$F$3)</f>
        <v>1</v>
      </c>
      <c r="F19" s="4" t="str">
        <f>GANADOR_MARCADOR_POLLA('Pollas Cuartos de Final'!H19,'Pollas Cuartos de Final'!$H$2,'Pollas Cuartos de Final'!I19,'Pollas Cuartos de Final'!$I$2)</f>
        <v>Portugal</v>
      </c>
      <c r="G19" s="4">
        <f>PUNTAJE_GANADORES('Pollas Cuartos de Final'!H19,'Resultados Oficiales Cuartos de'!$C$4,'Pollas Cuartos de Final'!I19,'Resultados Oficiales Cuartos de'!$D$4,F19,'Resultados Oficiales Cuartos de'!$F$4)</f>
        <v>1</v>
      </c>
      <c r="H19" s="4" t="str">
        <f>GANADOR_MARCADOR_POLLA('Pollas Cuartos de Final'!J19,'Pollas Cuartos de Final'!$J$2,'Pollas Cuartos de Final'!K19,'Pollas Cuartos de Final'!$K$2)</f>
        <v>EMPATE</v>
      </c>
      <c r="I19" s="4">
        <f>PUNTAJE_GANADORES('Pollas Cuartos de Final'!J19,'Resultados Oficiales Cuartos de'!$C$5,'Pollas Cuartos de Final'!K19,'Resultados Oficiales Cuartos de'!$D$5,H19,'Resultados Oficiales Cuartos de'!$F$5)</f>
        <v>1</v>
      </c>
      <c r="J19" s="17">
        <f t="shared" si="1"/>
        <v>3</v>
      </c>
    </row>
    <row r="20">
      <c r="A20" s="10" t="str">
        <f>'Pollas Cuartos de Final'!C20</f>
        <v>El cuculeito del balon</v>
      </c>
      <c r="B20" s="4" t="str">
        <f>GANADOR_MARCADOR_POLLA('Pollas Cuartos de Final'!D20,'Pollas Cuartos de Final'!$D$2,'Pollas Cuartos de Final'!E20,'Pollas Cuartos de Final'!$E$2)</f>
        <v>Brasil</v>
      </c>
      <c r="C20" s="4">
        <f>PUNTAJE_GANADORES('Pollas Cuartos de Final'!D20,'Resultados Oficiales Cuartos de'!$C$2,'Pollas Cuartos de Final'!E20,'Resultados Oficiales Cuartos de'!$D$2,B20,'Resultados Oficiales Cuartos de'!$F$2)</f>
        <v>0</v>
      </c>
      <c r="D20" s="4" t="str">
        <f>GANADOR_MARCADOR_POLLA('Pollas Cuartos de Final'!F20,'Pollas Cuartos de Final'!$F$2,'Pollas Cuartos de Final'!G20,'Pollas Cuartos de Final'!$G$2)</f>
        <v>Argentina</v>
      </c>
      <c r="E20" s="4">
        <f>PUNTAJE_GANADORES('Pollas Cuartos de Final'!F20,'Resultados Oficiales Cuartos de'!$C$3,'Pollas Cuartos de Final'!G20,'Resultados Oficiales Cuartos de'!$D$3,D20,'Resultados Oficiales Cuartos de'!$F$3)</f>
        <v>1</v>
      </c>
      <c r="F20" s="4" t="str">
        <f>GANADOR_MARCADOR_POLLA('Pollas Cuartos de Final'!H20,'Pollas Cuartos de Final'!$H$2,'Pollas Cuartos de Final'!I20,'Pollas Cuartos de Final'!$I$2)</f>
        <v>Portugal</v>
      </c>
      <c r="G20" s="4">
        <f>PUNTAJE_GANADORES('Pollas Cuartos de Final'!H20,'Resultados Oficiales Cuartos de'!$C$4,'Pollas Cuartos de Final'!I20,'Resultados Oficiales Cuartos de'!$D$4,F20,'Resultados Oficiales Cuartos de'!$F$4)</f>
        <v>0</v>
      </c>
      <c r="H20" s="4" t="str">
        <f>GANADOR_MARCADOR_POLLA('Pollas Cuartos de Final'!J20,'Pollas Cuartos de Final'!$J$2,'Pollas Cuartos de Final'!K20,'Pollas Cuartos de Final'!$K$2)</f>
        <v>Francia</v>
      </c>
      <c r="I20" s="4">
        <f>PUNTAJE_GANADORES('Pollas Cuartos de Final'!J20,'Resultados Oficiales Cuartos de'!$C$5,'Pollas Cuartos de Final'!K20,'Resultados Oficiales Cuartos de'!$D$5,H20,'Resultados Oficiales Cuartos de'!$F$5)</f>
        <v>5</v>
      </c>
      <c r="J20" s="17">
        <f t="shared" si="1"/>
        <v>6</v>
      </c>
    </row>
    <row r="21">
      <c r="A21" s="10" t="str">
        <f>'Pollas Cuartos de Final'!C21</f>
        <v>Los Betancruz</v>
      </c>
      <c r="B21" s="4" t="str">
        <f>GANADOR_MARCADOR_POLLA('Pollas Cuartos de Final'!D21,'Pollas Cuartos de Final'!$D$2,'Pollas Cuartos de Final'!E21,'Pollas Cuartos de Final'!$E$2)</f>
        <v>Brasil</v>
      </c>
      <c r="C21" s="4">
        <f>PUNTAJE_GANADORES('Pollas Cuartos de Final'!D21,'Resultados Oficiales Cuartos de'!$C$2,'Pollas Cuartos de Final'!E21,'Resultados Oficiales Cuartos de'!$D$2,B21,'Resultados Oficiales Cuartos de'!$F$2)</f>
        <v>0</v>
      </c>
      <c r="D21" s="4" t="str">
        <f>GANADOR_MARCADOR_POLLA('Pollas Cuartos de Final'!F21,'Pollas Cuartos de Final'!$F$2,'Pollas Cuartos de Final'!G21,'Pollas Cuartos de Final'!$G$2)</f>
        <v>EMPATE</v>
      </c>
      <c r="E21" s="4">
        <f>PUNTAJE_GANADORES('Pollas Cuartos de Final'!F21,'Resultados Oficiales Cuartos de'!$C$3,'Pollas Cuartos de Final'!G21,'Resultados Oficiales Cuartos de'!$D$3,D21,'Resultados Oficiales Cuartos de'!$F$3)</f>
        <v>5</v>
      </c>
      <c r="F21" s="4" t="str">
        <f>GANADOR_MARCADOR_POLLA('Pollas Cuartos de Final'!H21,'Pollas Cuartos de Final'!$H$2,'Pollas Cuartos de Final'!I21,'Pollas Cuartos de Final'!$I$2)</f>
        <v>EMPATE</v>
      </c>
      <c r="G21" s="4">
        <f>PUNTAJE_GANADORES('Pollas Cuartos de Final'!H21,'Resultados Oficiales Cuartos de'!$C$4,'Pollas Cuartos de Final'!I21,'Resultados Oficiales Cuartos de'!$D$4,F21,'Resultados Oficiales Cuartos de'!$F$4)</f>
        <v>1</v>
      </c>
      <c r="H21" s="4" t="str">
        <f>GANADOR_MARCADOR_POLLA('Pollas Cuartos de Final'!J21,'Pollas Cuartos de Final'!$J$2,'Pollas Cuartos de Final'!K21,'Pollas Cuartos de Final'!$K$2)</f>
        <v>Inglaterra</v>
      </c>
      <c r="I21" s="4">
        <f>PUNTAJE_GANADORES('Pollas Cuartos de Final'!J21,'Resultados Oficiales Cuartos de'!$C$5,'Pollas Cuartos de Final'!K21,'Resultados Oficiales Cuartos de'!$D$5,H21,'Resultados Oficiales Cuartos de'!$F$5)</f>
        <v>0</v>
      </c>
      <c r="J21" s="17">
        <f t="shared" si="1"/>
        <v>6</v>
      </c>
    </row>
    <row r="22">
      <c r="A22" s="10" t="str">
        <f>'Pollas Cuartos de Final'!C22</f>
        <v>Luis Fermin Naranjo Artehourtua</v>
      </c>
      <c r="B22" s="4" t="str">
        <f>GANADOR_MARCADOR_POLLA('Pollas Cuartos de Final'!D22,'Pollas Cuartos de Final'!$D$2,'Pollas Cuartos de Final'!E22,'Pollas Cuartos de Final'!$E$2)</f>
        <v>Brasil</v>
      </c>
      <c r="C22" s="4">
        <f>PUNTAJE_GANADORES('Pollas Cuartos de Final'!D22,'Resultados Oficiales Cuartos de'!$C$2,'Pollas Cuartos de Final'!E22,'Resultados Oficiales Cuartos de'!$D$2,B22,'Resultados Oficiales Cuartos de'!$F$2)</f>
        <v>0</v>
      </c>
      <c r="D22" s="4" t="str">
        <f>GANADOR_MARCADOR_POLLA('Pollas Cuartos de Final'!F22,'Pollas Cuartos de Final'!$F$2,'Pollas Cuartos de Final'!G22,'Pollas Cuartos de Final'!$G$2)</f>
        <v>Argentina</v>
      </c>
      <c r="E22" s="4">
        <f>PUNTAJE_GANADORES('Pollas Cuartos de Final'!F22,'Resultados Oficiales Cuartos de'!$C$3,'Pollas Cuartos de Final'!G22,'Resultados Oficiales Cuartos de'!$D$3,D22,'Resultados Oficiales Cuartos de'!$F$3)</f>
        <v>1</v>
      </c>
      <c r="F22" s="4" t="str">
        <f>GANADOR_MARCADOR_POLLA('Pollas Cuartos de Final'!H22,'Pollas Cuartos de Final'!$H$2,'Pollas Cuartos de Final'!I22,'Pollas Cuartos de Final'!$I$2)</f>
        <v>EMPATE</v>
      </c>
      <c r="G22" s="4">
        <f>PUNTAJE_GANADORES('Pollas Cuartos de Final'!H22,'Resultados Oficiales Cuartos de'!$C$4,'Pollas Cuartos de Final'!I22,'Resultados Oficiales Cuartos de'!$D$4,F22,'Resultados Oficiales Cuartos de'!$F$4)</f>
        <v>0</v>
      </c>
      <c r="H22" s="4" t="str">
        <f>GANADOR_MARCADOR_POLLA('Pollas Cuartos de Final'!J22,'Pollas Cuartos de Final'!$J$2,'Pollas Cuartos de Final'!K22,'Pollas Cuartos de Final'!$K$2)</f>
        <v>Inglaterra</v>
      </c>
      <c r="I22" s="4">
        <f>PUNTAJE_GANADORES('Pollas Cuartos de Final'!J22,'Resultados Oficiales Cuartos de'!$C$5,'Pollas Cuartos de Final'!K22,'Resultados Oficiales Cuartos de'!$D$5,H22,'Resultados Oficiales Cuartos de'!$F$5)</f>
        <v>1</v>
      </c>
      <c r="J22" s="17">
        <f t="shared" si="1"/>
        <v>2</v>
      </c>
    </row>
    <row r="23">
      <c r="A23" s="10" t="str">
        <f>'Pollas Cuartos de Final'!C23</f>
        <v>John Jaramillo-Diogenes Restrepo</v>
      </c>
      <c r="B23" s="4" t="str">
        <f>GANADOR_MARCADOR_POLLA('Pollas Cuartos de Final'!D23,'Pollas Cuartos de Final'!$D$2,'Pollas Cuartos de Final'!E23,'Pollas Cuartos de Final'!$E$2)</f>
        <v>Brasil</v>
      </c>
      <c r="C23" s="4">
        <f>PUNTAJE_GANADORES('Pollas Cuartos de Final'!D23,'Resultados Oficiales Cuartos de'!$C$2,'Pollas Cuartos de Final'!E23,'Resultados Oficiales Cuartos de'!$D$2,B23,'Resultados Oficiales Cuartos de'!$F$2)</f>
        <v>1</v>
      </c>
      <c r="D23" s="4" t="str">
        <f>GANADOR_MARCADOR_POLLA('Pollas Cuartos de Final'!F23,'Pollas Cuartos de Final'!$F$2,'Pollas Cuartos de Final'!G23,'Pollas Cuartos de Final'!$G$2)</f>
        <v>Argentina</v>
      </c>
      <c r="E23" s="4">
        <f>PUNTAJE_GANADORES('Pollas Cuartos de Final'!F23,'Resultados Oficiales Cuartos de'!$C$3,'Pollas Cuartos de Final'!G23,'Resultados Oficiales Cuartos de'!$D$3,D23,'Resultados Oficiales Cuartos de'!$F$3)</f>
        <v>1</v>
      </c>
      <c r="F23" s="4" t="str">
        <f>GANADOR_MARCADOR_POLLA('Pollas Cuartos de Final'!H23,'Pollas Cuartos de Final'!$H$2,'Pollas Cuartos de Final'!I23,'Pollas Cuartos de Final'!$I$2)</f>
        <v>EMPATE</v>
      </c>
      <c r="G23" s="4">
        <f>PUNTAJE_GANADORES('Pollas Cuartos de Final'!H23,'Resultados Oficiales Cuartos de'!$C$4,'Pollas Cuartos de Final'!I23,'Resultados Oficiales Cuartos de'!$D$4,F23,'Resultados Oficiales Cuartos de'!$F$4)</f>
        <v>1</v>
      </c>
      <c r="H23" s="4" t="str">
        <f>GANADOR_MARCADOR_POLLA('Pollas Cuartos de Final'!J23,'Pollas Cuartos de Final'!$J$2,'Pollas Cuartos de Final'!K23,'Pollas Cuartos de Final'!$K$2)</f>
        <v>Francia</v>
      </c>
      <c r="I23" s="4">
        <f>PUNTAJE_GANADORES('Pollas Cuartos de Final'!J23,'Resultados Oficiales Cuartos de'!$C$5,'Pollas Cuartos de Final'!K23,'Resultados Oficiales Cuartos de'!$D$5,H23,'Resultados Oficiales Cuartos de'!$F$5)</f>
        <v>5</v>
      </c>
      <c r="J23" s="17">
        <f t="shared" si="1"/>
        <v>8</v>
      </c>
    </row>
    <row r="24">
      <c r="A24" s="10" t="str">
        <f>'Pollas Cuartos de Final'!C24</f>
        <v>Cristina Valentina Echeverri- Las fieras</v>
      </c>
      <c r="B24" s="4" t="str">
        <f>GANADOR_MARCADOR_POLLA('Pollas Cuartos de Final'!D24,'Pollas Cuartos de Final'!$D$2,'Pollas Cuartos de Final'!E24,'Pollas Cuartos de Final'!$E$2)</f>
        <v>Brasil</v>
      </c>
      <c r="C24" s="4">
        <f>PUNTAJE_GANADORES('Pollas Cuartos de Final'!D24,'Resultados Oficiales Cuartos de'!$C$2,'Pollas Cuartos de Final'!E24,'Resultados Oficiales Cuartos de'!$D$2,B24,'Resultados Oficiales Cuartos de'!$F$2)</f>
        <v>0</v>
      </c>
      <c r="D24" s="4" t="str">
        <f>GANADOR_MARCADOR_POLLA('Pollas Cuartos de Final'!F24,'Pollas Cuartos de Final'!$F$2,'Pollas Cuartos de Final'!G24,'Pollas Cuartos de Final'!$G$2)</f>
        <v>Paises Bajos</v>
      </c>
      <c r="E24" s="4">
        <f>PUNTAJE_GANADORES('Pollas Cuartos de Final'!F24,'Resultados Oficiales Cuartos de'!$C$3,'Pollas Cuartos de Final'!G24,'Resultados Oficiales Cuartos de'!$D$3,D24,'Resultados Oficiales Cuartos de'!$F$3)</f>
        <v>1</v>
      </c>
      <c r="F24" s="4" t="str">
        <f>GANADOR_MARCADOR_POLLA('Pollas Cuartos de Final'!H24,'Pollas Cuartos de Final'!$H$2,'Pollas Cuartos de Final'!I24,'Pollas Cuartos de Final'!$I$2)</f>
        <v>Portugal</v>
      </c>
      <c r="G24" s="4">
        <f>PUNTAJE_GANADORES('Pollas Cuartos de Final'!H24,'Resultados Oficiales Cuartos de'!$C$4,'Pollas Cuartos de Final'!I24,'Resultados Oficiales Cuartos de'!$D$4,F24,'Resultados Oficiales Cuartos de'!$F$4)</f>
        <v>0</v>
      </c>
      <c r="H24" s="4" t="str">
        <f>GANADOR_MARCADOR_POLLA('Pollas Cuartos de Final'!J24,'Pollas Cuartos de Final'!$J$2,'Pollas Cuartos de Final'!K24,'Pollas Cuartos de Final'!$K$2)</f>
        <v>EMPATE</v>
      </c>
      <c r="I24" s="4">
        <f>PUNTAJE_GANADORES('Pollas Cuartos de Final'!J24,'Resultados Oficiales Cuartos de'!$C$5,'Pollas Cuartos de Final'!K24,'Resultados Oficiales Cuartos de'!$D$5,H24,'Resultados Oficiales Cuartos de'!$F$5)</f>
        <v>1</v>
      </c>
      <c r="J24" s="17">
        <f t="shared" si="1"/>
        <v>2</v>
      </c>
    </row>
    <row r="25">
      <c r="A25" s="10" t="str">
        <f>'Pollas Cuartos de Final'!C25</f>
        <v>Leonardo Valencia Valencia</v>
      </c>
      <c r="B25" s="4" t="str">
        <f>GANADOR_MARCADOR_POLLA('Pollas Cuartos de Final'!D25,'Pollas Cuartos de Final'!$D$2,'Pollas Cuartos de Final'!E25,'Pollas Cuartos de Final'!$E$2)</f>
        <v>Brasil</v>
      </c>
      <c r="C25" s="4">
        <f>PUNTAJE_GANADORES('Pollas Cuartos de Final'!D25,'Resultados Oficiales Cuartos de'!$C$2,'Pollas Cuartos de Final'!E25,'Resultados Oficiales Cuartos de'!$D$2,B25,'Resultados Oficiales Cuartos de'!$F$2)</f>
        <v>0</v>
      </c>
      <c r="D25" s="4" t="str">
        <f>GANADOR_MARCADOR_POLLA('Pollas Cuartos de Final'!F25,'Pollas Cuartos de Final'!$F$2,'Pollas Cuartos de Final'!G25,'Pollas Cuartos de Final'!$G$2)</f>
        <v>Argentina</v>
      </c>
      <c r="E25" s="4">
        <f>PUNTAJE_GANADORES('Pollas Cuartos de Final'!F25,'Resultados Oficiales Cuartos de'!$C$3,'Pollas Cuartos de Final'!G25,'Resultados Oficiales Cuartos de'!$D$3,D25,'Resultados Oficiales Cuartos de'!$F$3)</f>
        <v>0</v>
      </c>
      <c r="F25" s="4" t="str">
        <f>GANADOR_MARCADOR_POLLA('Pollas Cuartos de Final'!H25,'Pollas Cuartos de Final'!$H$2,'Pollas Cuartos de Final'!I25,'Pollas Cuartos de Final'!$I$2)</f>
        <v>EMPATE</v>
      </c>
      <c r="G25" s="4">
        <f>PUNTAJE_GANADORES('Pollas Cuartos de Final'!H25,'Resultados Oficiales Cuartos de'!$C$4,'Pollas Cuartos de Final'!I25,'Resultados Oficiales Cuartos de'!$D$4,F25,'Resultados Oficiales Cuartos de'!$F$4)</f>
        <v>0</v>
      </c>
      <c r="H25" s="4" t="str">
        <f>GANADOR_MARCADOR_POLLA('Pollas Cuartos de Final'!J25,'Pollas Cuartos de Final'!$J$2,'Pollas Cuartos de Final'!K25,'Pollas Cuartos de Final'!$K$2)</f>
        <v>Francia</v>
      </c>
      <c r="I25" s="4">
        <f>PUNTAJE_GANADORES('Pollas Cuartos de Final'!J25,'Resultados Oficiales Cuartos de'!$C$5,'Pollas Cuartos de Final'!K25,'Resultados Oficiales Cuartos de'!$D$5,H25,'Resultados Oficiales Cuartos de'!$F$5)</f>
        <v>3</v>
      </c>
      <c r="J25" s="17">
        <f t="shared" si="1"/>
        <v>3</v>
      </c>
    </row>
    <row r="26">
      <c r="A26" s="10" t="str">
        <f>'Pollas Cuartos de Final'!C26</f>
        <v>Qatarsis 1.0</v>
      </c>
      <c r="B26" s="4" t="str">
        <f>GANADOR_MARCADOR_POLLA('Pollas Cuartos de Final'!D26,'Pollas Cuartos de Final'!$D$2,'Pollas Cuartos de Final'!E26,'Pollas Cuartos de Final'!$E$2)</f>
        <v>Brasil</v>
      </c>
      <c r="C26" s="4">
        <f>PUNTAJE_GANADORES('Pollas Cuartos de Final'!D26,'Resultados Oficiales Cuartos de'!$C$2,'Pollas Cuartos de Final'!E26,'Resultados Oficiales Cuartos de'!$D$2,B26,'Resultados Oficiales Cuartos de'!$F$2)</f>
        <v>1</v>
      </c>
      <c r="D26" s="4" t="str">
        <f>GANADOR_MARCADOR_POLLA('Pollas Cuartos de Final'!F26,'Pollas Cuartos de Final'!$F$2,'Pollas Cuartos de Final'!G26,'Pollas Cuartos de Final'!$G$2)</f>
        <v>Paises Bajos</v>
      </c>
      <c r="E26" s="4">
        <f>PUNTAJE_GANADORES('Pollas Cuartos de Final'!F26,'Resultados Oficiales Cuartos de'!$C$3,'Pollas Cuartos de Final'!G26,'Resultados Oficiales Cuartos de'!$D$3,D26,'Resultados Oficiales Cuartos de'!$F$3)</f>
        <v>1</v>
      </c>
      <c r="F26" s="4" t="str">
        <f>GANADOR_MARCADOR_POLLA('Pollas Cuartos de Final'!H26,'Pollas Cuartos de Final'!$H$2,'Pollas Cuartos de Final'!I26,'Pollas Cuartos de Final'!$I$2)</f>
        <v>Portugal</v>
      </c>
      <c r="G26" s="4">
        <f>PUNTAJE_GANADORES('Pollas Cuartos de Final'!H26,'Resultados Oficiales Cuartos de'!$C$4,'Pollas Cuartos de Final'!I26,'Resultados Oficiales Cuartos de'!$D$4,F26,'Resultados Oficiales Cuartos de'!$F$4)</f>
        <v>1</v>
      </c>
      <c r="H26" s="4" t="str">
        <f>GANADOR_MARCADOR_POLLA('Pollas Cuartos de Final'!J26,'Pollas Cuartos de Final'!$J$2,'Pollas Cuartos de Final'!K26,'Pollas Cuartos de Final'!$K$2)</f>
        <v>Inglaterra</v>
      </c>
      <c r="I26" s="4">
        <f>PUNTAJE_GANADORES('Pollas Cuartos de Final'!J26,'Resultados Oficiales Cuartos de'!$C$5,'Pollas Cuartos de Final'!K26,'Resultados Oficiales Cuartos de'!$D$5,H26,'Resultados Oficiales Cuartos de'!$F$5)</f>
        <v>1</v>
      </c>
      <c r="J26" s="17">
        <f t="shared" si="1"/>
        <v>4</v>
      </c>
    </row>
    <row r="27">
      <c r="A27" s="10" t="str">
        <f>'Pollas Cuartos de Final'!C27</f>
        <v>Qatarsis 2.0</v>
      </c>
      <c r="B27" s="4" t="str">
        <f>GANADOR_MARCADOR_POLLA('Pollas Cuartos de Final'!D27,'Pollas Cuartos de Final'!$D$2,'Pollas Cuartos de Final'!E27,'Pollas Cuartos de Final'!$E$2)</f>
        <v>Brasil</v>
      </c>
      <c r="C27" s="4">
        <f>PUNTAJE_GANADORES('Pollas Cuartos de Final'!D27,'Resultados Oficiales Cuartos de'!$C$2,'Pollas Cuartos de Final'!E27,'Resultados Oficiales Cuartos de'!$D$2,B27,'Resultados Oficiales Cuartos de'!$F$2)</f>
        <v>1</v>
      </c>
      <c r="D27" s="4" t="str">
        <f>GANADOR_MARCADOR_POLLA('Pollas Cuartos de Final'!F27,'Pollas Cuartos de Final'!$F$2,'Pollas Cuartos de Final'!G27,'Pollas Cuartos de Final'!$G$2)</f>
        <v>Argentina</v>
      </c>
      <c r="E27" s="4">
        <f>PUNTAJE_GANADORES('Pollas Cuartos de Final'!F27,'Resultados Oficiales Cuartos de'!$C$3,'Pollas Cuartos de Final'!G27,'Resultados Oficiales Cuartos de'!$D$3,D27,'Resultados Oficiales Cuartos de'!$F$3)</f>
        <v>1</v>
      </c>
      <c r="F27" s="4" t="str">
        <f>GANADOR_MARCADOR_POLLA('Pollas Cuartos de Final'!H27,'Pollas Cuartos de Final'!$H$2,'Pollas Cuartos de Final'!I27,'Pollas Cuartos de Final'!$I$2)</f>
        <v>Portugal</v>
      </c>
      <c r="G27" s="4">
        <f>PUNTAJE_GANADORES('Pollas Cuartos de Final'!H27,'Resultados Oficiales Cuartos de'!$C$4,'Pollas Cuartos de Final'!I27,'Resultados Oficiales Cuartos de'!$D$4,F27,'Resultados Oficiales Cuartos de'!$F$4)</f>
        <v>1</v>
      </c>
      <c r="H27" s="4" t="str">
        <f>GANADOR_MARCADOR_POLLA('Pollas Cuartos de Final'!J27,'Pollas Cuartos de Final'!$J$2,'Pollas Cuartos de Final'!K27,'Pollas Cuartos de Final'!$K$2)</f>
        <v>EMPATE</v>
      </c>
      <c r="I27" s="4">
        <f>PUNTAJE_GANADORES('Pollas Cuartos de Final'!J27,'Resultados Oficiales Cuartos de'!$C$5,'Pollas Cuartos de Final'!K27,'Resultados Oficiales Cuartos de'!$D$5,H27,'Resultados Oficiales Cuartos de'!$F$5)</f>
        <v>1</v>
      </c>
      <c r="J27" s="17">
        <f t="shared" si="1"/>
        <v>4</v>
      </c>
    </row>
    <row r="28">
      <c r="A28" s="10" t="str">
        <f>'Pollas Cuartos de Final'!C28</f>
        <v>La Perripolla</v>
      </c>
      <c r="B28" s="4" t="str">
        <f>GANADOR_MARCADOR_POLLA('Pollas Cuartos de Final'!D28,'Pollas Cuartos de Final'!$D$2,'Pollas Cuartos de Final'!E28,'Pollas Cuartos de Final'!$E$2)</f>
        <v>Brasil</v>
      </c>
      <c r="C28" s="4">
        <f>PUNTAJE_GANADORES('Pollas Cuartos de Final'!D28,'Resultados Oficiales Cuartos de'!$C$2,'Pollas Cuartos de Final'!E28,'Resultados Oficiales Cuartos de'!$D$2,B28,'Resultados Oficiales Cuartos de'!$F$2)</f>
        <v>1</v>
      </c>
      <c r="D28" s="4" t="str">
        <f>GANADOR_MARCADOR_POLLA('Pollas Cuartos de Final'!F28,'Pollas Cuartos de Final'!$F$2,'Pollas Cuartos de Final'!G28,'Pollas Cuartos de Final'!$G$2)</f>
        <v>EMPATE</v>
      </c>
      <c r="E28" s="4">
        <f>PUNTAJE_GANADORES('Pollas Cuartos de Final'!F28,'Resultados Oficiales Cuartos de'!$C$3,'Pollas Cuartos de Final'!G28,'Resultados Oficiales Cuartos de'!$D$3,D28,'Resultados Oficiales Cuartos de'!$F$3)</f>
        <v>1</v>
      </c>
      <c r="F28" s="4" t="str">
        <f>GANADOR_MARCADOR_POLLA('Pollas Cuartos de Final'!H28,'Pollas Cuartos de Final'!$H$2,'Pollas Cuartos de Final'!I28,'Pollas Cuartos de Final'!$I$2)</f>
        <v>Portugal</v>
      </c>
      <c r="G28" s="4">
        <f>PUNTAJE_GANADORES('Pollas Cuartos de Final'!H28,'Resultados Oficiales Cuartos de'!$C$4,'Pollas Cuartos de Final'!I28,'Resultados Oficiales Cuartos de'!$D$4,F28,'Resultados Oficiales Cuartos de'!$F$4)</f>
        <v>1</v>
      </c>
      <c r="H28" s="4" t="str">
        <f>GANADOR_MARCADOR_POLLA('Pollas Cuartos de Final'!J28,'Pollas Cuartos de Final'!$J$2,'Pollas Cuartos de Final'!K28,'Pollas Cuartos de Final'!$K$2)</f>
        <v>Francia</v>
      </c>
      <c r="I28" s="4">
        <f>PUNTAJE_GANADORES('Pollas Cuartos de Final'!J28,'Resultados Oficiales Cuartos de'!$C$5,'Pollas Cuartos de Final'!K28,'Resultados Oficiales Cuartos de'!$D$5,H28,'Resultados Oficiales Cuartos de'!$F$5)</f>
        <v>5</v>
      </c>
      <c r="J28" s="17">
        <f t="shared" si="1"/>
        <v>8</v>
      </c>
    </row>
    <row r="29">
      <c r="A29" s="10" t="str">
        <f>'Pollas Cuartos de Final'!C29</f>
        <v>Guanabano Indigente</v>
      </c>
      <c r="B29" s="4" t="str">
        <f>GANADOR_MARCADOR_POLLA('Pollas Cuartos de Final'!D29,'Pollas Cuartos de Final'!$D$2,'Pollas Cuartos de Final'!E29,'Pollas Cuartos de Final'!$E$2)</f>
        <v>Brasil</v>
      </c>
      <c r="C29" s="4">
        <f>PUNTAJE_GANADORES('Pollas Cuartos de Final'!D29,'Resultados Oficiales Cuartos de'!$C$2,'Pollas Cuartos de Final'!E29,'Resultados Oficiales Cuartos de'!$D$2,B29,'Resultados Oficiales Cuartos de'!$F$2)</f>
        <v>0</v>
      </c>
      <c r="D29" s="4" t="str">
        <f>GANADOR_MARCADOR_POLLA('Pollas Cuartos de Final'!F29,'Pollas Cuartos de Final'!$F$2,'Pollas Cuartos de Final'!G29,'Pollas Cuartos de Final'!$G$2)</f>
        <v>EMPATE</v>
      </c>
      <c r="E29" s="4">
        <f>PUNTAJE_GANADORES('Pollas Cuartos de Final'!F29,'Resultados Oficiales Cuartos de'!$C$3,'Pollas Cuartos de Final'!G29,'Resultados Oficiales Cuartos de'!$D$3,D29,'Resultados Oficiales Cuartos de'!$F$3)</f>
        <v>5</v>
      </c>
      <c r="F29" s="4" t="str">
        <f>GANADOR_MARCADOR_POLLA('Pollas Cuartos de Final'!H29,'Pollas Cuartos de Final'!$H$2,'Pollas Cuartos de Final'!I29,'Pollas Cuartos de Final'!$I$2)</f>
        <v>EMPATE</v>
      </c>
      <c r="G29" s="4">
        <f>PUNTAJE_GANADORES('Pollas Cuartos de Final'!H29,'Resultados Oficiales Cuartos de'!$C$4,'Pollas Cuartos de Final'!I29,'Resultados Oficiales Cuartos de'!$D$4,F29,'Resultados Oficiales Cuartos de'!$F$4)</f>
        <v>1</v>
      </c>
      <c r="H29" s="4" t="str">
        <f>GANADOR_MARCADOR_POLLA('Pollas Cuartos de Final'!J29,'Pollas Cuartos de Final'!$J$2,'Pollas Cuartos de Final'!K29,'Pollas Cuartos de Final'!$K$2)</f>
        <v>Francia</v>
      </c>
      <c r="I29" s="4">
        <f>PUNTAJE_GANADORES('Pollas Cuartos de Final'!J29,'Resultados Oficiales Cuartos de'!$C$5,'Pollas Cuartos de Final'!K29,'Resultados Oficiales Cuartos de'!$D$5,H29,'Resultados Oficiales Cuartos de'!$F$5)</f>
        <v>2</v>
      </c>
      <c r="J29" s="17">
        <f t="shared" si="1"/>
        <v>8</v>
      </c>
    </row>
    <row r="30">
      <c r="A30" s="10" t="str">
        <f>'Pollas Cuartos de Final'!C30</f>
        <v>Safiro y Acero</v>
      </c>
      <c r="B30" s="4" t="str">
        <f>GANADOR_MARCADOR_POLLA('Pollas Cuartos de Final'!D30,'Pollas Cuartos de Final'!$D$2,'Pollas Cuartos de Final'!E30,'Pollas Cuartos de Final'!$E$2)</f>
        <v>Brasil</v>
      </c>
      <c r="C30" s="4">
        <f>PUNTAJE_GANADORES('Pollas Cuartos de Final'!D30,'Resultados Oficiales Cuartos de'!$C$2,'Pollas Cuartos de Final'!E30,'Resultados Oficiales Cuartos de'!$D$2,B30,'Resultados Oficiales Cuartos de'!$F$2)</f>
        <v>1</v>
      </c>
      <c r="D30" s="4" t="str">
        <f>GANADOR_MARCADOR_POLLA('Pollas Cuartos de Final'!F30,'Pollas Cuartos de Final'!$F$2,'Pollas Cuartos de Final'!G30,'Pollas Cuartos de Final'!$G$2)</f>
        <v>Argentina</v>
      </c>
      <c r="E30" s="4">
        <f>PUNTAJE_GANADORES('Pollas Cuartos de Final'!F30,'Resultados Oficiales Cuartos de'!$C$3,'Pollas Cuartos de Final'!G30,'Resultados Oficiales Cuartos de'!$D$3,D30,'Resultados Oficiales Cuartos de'!$F$3)</f>
        <v>0</v>
      </c>
      <c r="F30" s="4" t="str">
        <f>GANADOR_MARCADOR_POLLA('Pollas Cuartos de Final'!H30,'Pollas Cuartos de Final'!$H$2,'Pollas Cuartos de Final'!I30,'Pollas Cuartos de Final'!$I$2)</f>
        <v>Portugal</v>
      </c>
      <c r="G30" s="4">
        <f>PUNTAJE_GANADORES('Pollas Cuartos de Final'!H30,'Resultados Oficiales Cuartos de'!$C$4,'Pollas Cuartos de Final'!I30,'Resultados Oficiales Cuartos de'!$D$4,F30,'Resultados Oficiales Cuartos de'!$F$4)</f>
        <v>1</v>
      </c>
      <c r="H30" s="4" t="str">
        <f>GANADOR_MARCADOR_POLLA('Pollas Cuartos de Final'!J30,'Pollas Cuartos de Final'!$J$2,'Pollas Cuartos de Final'!K30,'Pollas Cuartos de Final'!$K$2)</f>
        <v>Francia</v>
      </c>
      <c r="I30" s="4">
        <f>PUNTAJE_GANADORES('Pollas Cuartos de Final'!J30,'Resultados Oficiales Cuartos de'!$C$5,'Pollas Cuartos de Final'!K30,'Resultados Oficiales Cuartos de'!$D$5,H30,'Resultados Oficiales Cuartos de'!$F$5)</f>
        <v>2</v>
      </c>
      <c r="J30" s="17">
        <f t="shared" si="1"/>
        <v>4</v>
      </c>
    </row>
    <row r="31">
      <c r="A31" s="10" t="str">
        <f>'Pollas Cuartos de Final'!C31</f>
        <v>Luchismo</v>
      </c>
      <c r="B31" s="4" t="str">
        <f>GANADOR_MARCADOR_POLLA('Pollas Cuartos de Final'!D31,'Pollas Cuartos de Final'!$D$2,'Pollas Cuartos de Final'!E31,'Pollas Cuartos de Final'!$E$2)</f>
        <v>Brasil</v>
      </c>
      <c r="C31" s="4">
        <f>PUNTAJE_GANADORES('Pollas Cuartos de Final'!D31,'Resultados Oficiales Cuartos de'!$C$2,'Pollas Cuartos de Final'!E31,'Resultados Oficiales Cuartos de'!$D$2,B31,'Resultados Oficiales Cuartos de'!$F$2)</f>
        <v>1</v>
      </c>
      <c r="D31" s="4" t="str">
        <f>GANADOR_MARCADOR_POLLA('Pollas Cuartos de Final'!F31,'Pollas Cuartos de Final'!$F$2,'Pollas Cuartos de Final'!G31,'Pollas Cuartos de Final'!$G$2)</f>
        <v>EMPATE</v>
      </c>
      <c r="E31" s="4">
        <f>PUNTAJE_GANADORES('Pollas Cuartos de Final'!F31,'Resultados Oficiales Cuartos de'!$C$3,'Pollas Cuartos de Final'!G31,'Resultados Oficiales Cuartos de'!$D$3,D31,'Resultados Oficiales Cuartos de'!$F$3)</f>
        <v>5</v>
      </c>
      <c r="F31" s="4" t="str">
        <f>GANADOR_MARCADOR_POLLA('Pollas Cuartos de Final'!H31,'Pollas Cuartos de Final'!$H$2,'Pollas Cuartos de Final'!I31,'Pollas Cuartos de Final'!$I$2)</f>
        <v>Portugal</v>
      </c>
      <c r="G31" s="4">
        <f>PUNTAJE_GANADORES('Pollas Cuartos de Final'!H31,'Resultados Oficiales Cuartos de'!$C$4,'Pollas Cuartos de Final'!I31,'Resultados Oficiales Cuartos de'!$D$4,F31,'Resultados Oficiales Cuartos de'!$F$4)</f>
        <v>1</v>
      </c>
      <c r="H31" s="4" t="str">
        <f>GANADOR_MARCADOR_POLLA('Pollas Cuartos de Final'!J31,'Pollas Cuartos de Final'!$J$2,'Pollas Cuartos de Final'!K31,'Pollas Cuartos de Final'!$K$2)</f>
        <v>EMPATE</v>
      </c>
      <c r="I31" s="4">
        <f>PUNTAJE_GANADORES('Pollas Cuartos de Final'!J31,'Resultados Oficiales Cuartos de'!$C$5,'Pollas Cuartos de Final'!K31,'Resultados Oficiales Cuartos de'!$D$5,H31,'Resultados Oficiales Cuartos de'!$F$5)</f>
        <v>1</v>
      </c>
      <c r="J31" s="17">
        <f t="shared" si="1"/>
        <v>8</v>
      </c>
    </row>
  </sheetData>
  <mergeCells count="4">
    <mergeCell ref="B1:C1"/>
    <mergeCell ref="D1:E1"/>
    <mergeCell ref="F1:G1"/>
    <mergeCell ref="H1:I1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7.13"/>
    <col customWidth="1" min="2" max="2" width="24.38"/>
    <col customWidth="1" min="24" max="24" width="17.13"/>
    <col customWidth="1" min="36" max="36" width="14.38"/>
    <col customWidth="1" min="92" max="92" width="15.63"/>
    <col customWidth="1" min="94" max="94" width="16.13"/>
    <col customWidth="1" min="99" max="99" width="9.75"/>
    <col customWidth="1" min="100" max="100" width="21.25"/>
  </cols>
  <sheetData>
    <row r="1">
      <c r="A1" s="10" t="s">
        <v>240</v>
      </c>
      <c r="B1" s="38" t="s">
        <v>241</v>
      </c>
      <c r="D1" s="39" t="s">
        <v>242</v>
      </c>
      <c r="F1" s="38" t="s">
        <v>243</v>
      </c>
      <c r="H1" s="30" t="s">
        <v>123</v>
      </c>
      <c r="I1" s="29"/>
      <c r="J1" s="28" t="s">
        <v>124</v>
      </c>
      <c r="K1" s="29"/>
      <c r="L1" s="30" t="s">
        <v>125</v>
      </c>
      <c r="M1" s="29"/>
      <c r="N1" s="28" t="s">
        <v>126</v>
      </c>
      <c r="O1" s="29"/>
      <c r="P1" s="30" t="s">
        <v>127</v>
      </c>
      <c r="Q1" s="29"/>
      <c r="R1" s="28" t="s">
        <v>128</v>
      </c>
      <c r="S1" s="29"/>
      <c r="T1" s="30" t="s">
        <v>129</v>
      </c>
      <c r="U1" s="29"/>
      <c r="V1" s="28" t="s">
        <v>130</v>
      </c>
      <c r="W1" s="29"/>
      <c r="X1" s="30" t="s">
        <v>131</v>
      </c>
      <c r="Y1" s="29"/>
      <c r="Z1" s="28" t="s">
        <v>132</v>
      </c>
      <c r="AA1" s="29"/>
      <c r="AB1" s="30" t="s">
        <v>133</v>
      </c>
      <c r="AC1" s="29"/>
      <c r="AD1" s="28" t="s">
        <v>134</v>
      </c>
      <c r="AE1" s="29"/>
      <c r="AF1" s="30" t="s">
        <v>135</v>
      </c>
      <c r="AG1" s="29"/>
      <c r="AH1" s="28" t="s">
        <v>136</v>
      </c>
      <c r="AI1" s="29"/>
      <c r="AJ1" s="30" t="s">
        <v>137</v>
      </c>
      <c r="AK1" s="29"/>
      <c r="AL1" s="28" t="s">
        <v>138</v>
      </c>
      <c r="AM1" s="29"/>
      <c r="AN1" s="30" t="s">
        <v>139</v>
      </c>
      <c r="AO1" s="29"/>
      <c r="AP1" s="28" t="s">
        <v>140</v>
      </c>
      <c r="AQ1" s="29"/>
      <c r="AR1" s="30" t="s">
        <v>141</v>
      </c>
      <c r="AS1" s="29"/>
      <c r="AT1" s="28" t="s">
        <v>142</v>
      </c>
      <c r="AU1" s="29"/>
      <c r="AV1" s="30" t="s">
        <v>143</v>
      </c>
      <c r="AW1" s="29"/>
      <c r="AX1" s="28" t="s">
        <v>144</v>
      </c>
      <c r="AY1" s="29"/>
      <c r="AZ1" s="30" t="s">
        <v>145</v>
      </c>
      <c r="BA1" s="29"/>
      <c r="BB1" s="28" t="s">
        <v>146</v>
      </c>
      <c r="BC1" s="29"/>
      <c r="BD1" s="30" t="s">
        <v>147</v>
      </c>
      <c r="BE1" s="29"/>
      <c r="BF1" s="28" t="s">
        <v>148</v>
      </c>
      <c r="BG1" s="29"/>
      <c r="BH1" s="30" t="s">
        <v>149</v>
      </c>
      <c r="BI1" s="29"/>
      <c r="BJ1" s="28" t="s">
        <v>150</v>
      </c>
      <c r="BK1" s="29"/>
      <c r="BL1" s="30" t="s">
        <v>151</v>
      </c>
      <c r="BM1" s="29"/>
      <c r="BN1" s="28" t="s">
        <v>152</v>
      </c>
      <c r="BO1" s="29"/>
      <c r="BP1" s="30" t="s">
        <v>153</v>
      </c>
      <c r="BQ1" s="29"/>
      <c r="BR1" s="28" t="s">
        <v>154</v>
      </c>
      <c r="BS1" s="29"/>
      <c r="BT1" s="30" t="s">
        <v>155</v>
      </c>
      <c r="BU1" s="29"/>
      <c r="BV1" s="28" t="s">
        <v>156</v>
      </c>
      <c r="BW1" s="29"/>
      <c r="BX1" s="30" t="s">
        <v>157</v>
      </c>
      <c r="BY1" s="29"/>
      <c r="BZ1" s="28" t="s">
        <v>158</v>
      </c>
      <c r="CA1" s="29"/>
      <c r="CB1" s="30" t="s">
        <v>159</v>
      </c>
      <c r="CC1" s="29"/>
      <c r="CD1" s="28" t="s">
        <v>160</v>
      </c>
      <c r="CE1" s="29"/>
      <c r="CF1" s="30" t="s">
        <v>161</v>
      </c>
      <c r="CG1" s="29"/>
      <c r="CH1" s="28" t="s">
        <v>162</v>
      </c>
      <c r="CI1" s="29"/>
      <c r="CJ1" s="30" t="s">
        <v>163</v>
      </c>
      <c r="CK1" s="29"/>
      <c r="CL1" s="28" t="s">
        <v>164</v>
      </c>
      <c r="CM1" s="29"/>
      <c r="CN1" s="30" t="s">
        <v>165</v>
      </c>
      <c r="CO1" s="29"/>
      <c r="CP1" s="28" t="s">
        <v>166</v>
      </c>
      <c r="CQ1" s="29"/>
      <c r="CR1" s="30" t="s">
        <v>167</v>
      </c>
      <c r="CS1" s="29"/>
      <c r="CT1" s="7"/>
      <c r="CU1" s="7"/>
      <c r="CV1" s="7"/>
      <c r="CW1" s="7"/>
    </row>
    <row r="2">
      <c r="A2" s="10"/>
      <c r="B2" s="38" t="s">
        <v>208</v>
      </c>
      <c r="C2" s="38" t="s">
        <v>244</v>
      </c>
      <c r="D2" s="39" t="s">
        <v>208</v>
      </c>
      <c r="E2" s="39" t="s">
        <v>244</v>
      </c>
      <c r="F2" s="38" t="s">
        <v>208</v>
      </c>
      <c r="G2" s="38" t="s">
        <v>244</v>
      </c>
      <c r="H2" s="39" t="s">
        <v>208</v>
      </c>
      <c r="I2" s="39" t="s">
        <v>244</v>
      </c>
      <c r="J2" s="38" t="s">
        <v>208</v>
      </c>
      <c r="K2" s="38" t="s">
        <v>244</v>
      </c>
      <c r="L2" s="39" t="s">
        <v>208</v>
      </c>
      <c r="M2" s="39" t="s">
        <v>244</v>
      </c>
      <c r="N2" s="38" t="s">
        <v>208</v>
      </c>
      <c r="O2" s="38" t="s">
        <v>244</v>
      </c>
      <c r="P2" s="39" t="s">
        <v>208</v>
      </c>
      <c r="Q2" s="39" t="s">
        <v>244</v>
      </c>
      <c r="R2" s="38" t="s">
        <v>208</v>
      </c>
      <c r="S2" s="38" t="s">
        <v>244</v>
      </c>
      <c r="T2" s="39" t="s">
        <v>208</v>
      </c>
      <c r="U2" s="39" t="s">
        <v>244</v>
      </c>
      <c r="V2" s="38" t="s">
        <v>208</v>
      </c>
      <c r="W2" s="38" t="s">
        <v>244</v>
      </c>
      <c r="X2" s="39" t="s">
        <v>208</v>
      </c>
      <c r="Y2" s="39" t="s">
        <v>244</v>
      </c>
      <c r="Z2" s="38" t="s">
        <v>208</v>
      </c>
      <c r="AA2" s="38" t="s">
        <v>244</v>
      </c>
      <c r="AB2" s="39" t="s">
        <v>208</v>
      </c>
      <c r="AC2" s="39" t="s">
        <v>244</v>
      </c>
      <c r="AD2" s="38" t="s">
        <v>208</v>
      </c>
      <c r="AE2" s="38" t="s">
        <v>244</v>
      </c>
      <c r="AF2" s="39" t="s">
        <v>208</v>
      </c>
      <c r="AG2" s="39" t="s">
        <v>244</v>
      </c>
      <c r="AH2" s="38" t="s">
        <v>208</v>
      </c>
      <c r="AI2" s="38" t="s">
        <v>244</v>
      </c>
      <c r="AJ2" s="39" t="s">
        <v>208</v>
      </c>
      <c r="AK2" s="39" t="s">
        <v>244</v>
      </c>
      <c r="AL2" s="38" t="s">
        <v>208</v>
      </c>
      <c r="AM2" s="38" t="s">
        <v>244</v>
      </c>
      <c r="AN2" s="39" t="s">
        <v>208</v>
      </c>
      <c r="AO2" s="39" t="s">
        <v>244</v>
      </c>
      <c r="AP2" s="38" t="s">
        <v>208</v>
      </c>
      <c r="AQ2" s="38" t="s">
        <v>244</v>
      </c>
      <c r="AR2" s="39" t="s">
        <v>208</v>
      </c>
      <c r="AS2" s="39" t="s">
        <v>244</v>
      </c>
      <c r="AT2" s="38" t="s">
        <v>208</v>
      </c>
      <c r="AU2" s="38" t="s">
        <v>244</v>
      </c>
      <c r="AV2" s="39" t="s">
        <v>208</v>
      </c>
      <c r="AW2" s="39" t="s">
        <v>244</v>
      </c>
      <c r="AX2" s="38" t="s">
        <v>208</v>
      </c>
      <c r="AY2" s="38" t="s">
        <v>244</v>
      </c>
      <c r="AZ2" s="39" t="s">
        <v>208</v>
      </c>
      <c r="BA2" s="39" t="s">
        <v>244</v>
      </c>
      <c r="BB2" s="38" t="s">
        <v>208</v>
      </c>
      <c r="BC2" s="38" t="s">
        <v>244</v>
      </c>
      <c r="BD2" s="39" t="s">
        <v>208</v>
      </c>
      <c r="BE2" s="39" t="s">
        <v>244</v>
      </c>
      <c r="BF2" s="38" t="s">
        <v>208</v>
      </c>
      <c r="BG2" s="38" t="s">
        <v>244</v>
      </c>
      <c r="BH2" s="39" t="s">
        <v>208</v>
      </c>
      <c r="BI2" s="39" t="s">
        <v>244</v>
      </c>
      <c r="BJ2" s="38" t="s">
        <v>208</v>
      </c>
      <c r="BK2" s="38" t="s">
        <v>244</v>
      </c>
      <c r="BL2" s="39" t="s">
        <v>208</v>
      </c>
      <c r="BM2" s="39" t="s">
        <v>244</v>
      </c>
      <c r="BN2" s="38" t="s">
        <v>208</v>
      </c>
      <c r="BO2" s="38" t="s">
        <v>244</v>
      </c>
      <c r="BP2" s="39" t="s">
        <v>208</v>
      </c>
      <c r="BQ2" s="39" t="s">
        <v>244</v>
      </c>
      <c r="BR2" s="38" t="s">
        <v>208</v>
      </c>
      <c r="BS2" s="38" t="s">
        <v>244</v>
      </c>
      <c r="BT2" s="39" t="s">
        <v>208</v>
      </c>
      <c r="BU2" s="39" t="s">
        <v>244</v>
      </c>
      <c r="BV2" s="38" t="s">
        <v>208</v>
      </c>
      <c r="BW2" s="38" t="s">
        <v>244</v>
      </c>
      <c r="BX2" s="39" t="s">
        <v>208</v>
      </c>
      <c r="BY2" s="39" t="s">
        <v>244</v>
      </c>
      <c r="BZ2" s="38" t="s">
        <v>208</v>
      </c>
      <c r="CA2" s="38" t="s">
        <v>244</v>
      </c>
      <c r="CB2" s="39" t="s">
        <v>208</v>
      </c>
      <c r="CC2" s="39" t="s">
        <v>244</v>
      </c>
      <c r="CD2" s="38" t="s">
        <v>208</v>
      </c>
      <c r="CE2" s="38" t="s">
        <v>244</v>
      </c>
      <c r="CF2" s="39" t="s">
        <v>208</v>
      </c>
      <c r="CG2" s="39" t="s">
        <v>244</v>
      </c>
      <c r="CH2" s="38" t="s">
        <v>208</v>
      </c>
      <c r="CI2" s="38" t="s">
        <v>244</v>
      </c>
      <c r="CJ2" s="39" t="s">
        <v>208</v>
      </c>
      <c r="CK2" s="39" t="s">
        <v>244</v>
      </c>
      <c r="CL2" s="38" t="s">
        <v>208</v>
      </c>
      <c r="CM2" s="38" t="s">
        <v>244</v>
      </c>
      <c r="CN2" s="39" t="s">
        <v>208</v>
      </c>
      <c r="CO2" s="39" t="s">
        <v>244</v>
      </c>
      <c r="CP2" s="38" t="s">
        <v>208</v>
      </c>
      <c r="CQ2" s="38" t="s">
        <v>244</v>
      </c>
      <c r="CR2" s="39" t="s">
        <v>208</v>
      </c>
      <c r="CS2" s="39" t="s">
        <v>244</v>
      </c>
      <c r="CT2" s="17" t="s">
        <v>245</v>
      </c>
      <c r="CU2" s="17"/>
      <c r="CV2" s="17" t="s">
        <v>246</v>
      </c>
      <c r="CW2" s="17"/>
    </row>
    <row r="3">
      <c r="A3" s="3" t="str">
        <f>'Pollas Fase de Grupos'!CV3</f>
        <v>Mauricio Perez (Mauro chef)</v>
      </c>
      <c r="B3" s="4" t="str">
        <f>IF('Pollas Fase de Grupos'!D3&gt;'Pollas Fase de Grupos'!E3,'Pollas Fase de Grupos'!$D$2,IF('Pollas Fase de Grupos'!E3&gt;'Pollas Fase de Grupos'!D3,'Pollas Fase de Grupos'!$E$2,"EMPATE"))</f>
        <v>Qatar</v>
      </c>
      <c r="C3" s="4">
        <f>PUNTAJE_GANADORES('Pollas Fase de Grupos'!D3,'Resultados Oficiales Fase de Gr'!$D$3,'Pollas Fase de Grupos'!E3,'Resultados Oficiales Fase de Gr'!$E$3,B3,'Resultados Oficiales Fase de Gr'!$G$3)</f>
        <v>0</v>
      </c>
      <c r="D3" s="85" t="str">
        <f>IF('Pollas Fase de Grupos'!F3&gt;'Pollas Fase de Grupos'!G3,'Pollas Fase de Grupos'!$F$2,IF('Pollas Fase de Grupos'!G3&gt;'Pollas Fase de Grupos'!F3,'Pollas Fase de Grupos'!$G$2,"EMPATE"))</f>
        <v>Paises Bajos</v>
      </c>
      <c r="E3" s="4">
        <f>PUNTAJE_GANADORES('Pollas Fase de Grupos'!F3,'Resultados Oficiales Fase de Gr'!$D$4,'Pollas Fase de Grupos'!G3,'Resultados Oficiales Fase de Gr'!$E$4,D3,'Resultados Oficiales Fase de Gr'!$G$4)</f>
        <v>5</v>
      </c>
      <c r="F3" s="85" t="str">
        <f>IF('Pollas Fase de Grupos'!H3&gt;'Pollas Fase de Grupos'!I3,'Pollas Fase de Grupos'!$H$2,IF('Pollas Fase de Grupos'!I3&gt;'Pollas Fase de Grupos'!H3,'Pollas Fase de Grupos'!$I$2,"EMPATE"))</f>
        <v>Senegal</v>
      </c>
      <c r="G3" s="4">
        <f>PUNTAJE_GANADORES('Pollas Fase de Grupos'!H3,'Resultados Oficiales Fase de Gr'!$D$5,'Pollas Fase de Grupos'!I3,'Resultados Oficiales Fase de Gr'!$E$5,F3,'Resultados Oficiales Fase de Gr'!$G$5)</f>
        <v>2</v>
      </c>
      <c r="H3" s="85" t="str">
        <f>IF('Pollas Fase de Grupos'!J3&gt;'Pollas Fase de Grupos'!K3,'Pollas Fase de Grupos'!$J$2,IF('Pollas Fase de Grupos'!K3&gt;'Pollas Fase de Grupos'!J3,'Pollas Fase de Grupos'!$K$2,"EMPATE"))</f>
        <v>Paises Bajos</v>
      </c>
      <c r="I3" s="4">
        <f>PUNTAJE_GANADORES('Pollas Fase de Grupos'!J3,'Resultados Oficiales Fase de Gr'!$D$6,'Pollas Fase de Grupos'!K3,'Resultados Oficiales Fase de Gr'!$E$6,H3,'Resultados Oficiales Fase de Gr'!$G$6)</f>
        <v>0</v>
      </c>
      <c r="J3" s="85" t="str">
        <f>IF('Pollas Fase de Grupos'!L3&gt;'Pollas Fase de Grupos'!M3,'Pollas Fase de Grupos'!$L$2,IF('Pollas Fase de Grupos'!M3&gt;'Pollas Fase de Grupos'!L3,'Pollas Fase de Grupos'!$M$2,"EMPATE"))</f>
        <v>Paises Bajos</v>
      </c>
      <c r="K3" s="4">
        <f>PUNTAJE_GANADORES('Pollas Fase de Grupos'!L3,'Resultados Oficiales Fase de Gr'!$D$7,'Pollas Fase de Grupos'!M3,'Resultados Oficiales Fase de Gr'!$E$7,J3,'Resultados Oficiales Fase de Gr'!$G$7)</f>
        <v>3</v>
      </c>
      <c r="L3" s="85" t="str">
        <f>IF('Pollas Fase de Grupos'!N3&gt;'Pollas Fase de Grupos'!O3,'Pollas Fase de Grupos'!$N$2,IF('Pollas Fase de Grupos'!O3&gt;'Pollas Fase de Grupos'!N3,'Pollas Fase de Grupos'!$O$2,"EMPATE"))</f>
        <v>EMPATE</v>
      </c>
      <c r="M3" s="85">
        <f>PUNTAJE_GANADORES('Pollas Fase de Grupos'!N3,'Resultados Oficiales Fase de Gr'!$D$8,'Pollas Fase de Grupos'!O3,'Resultados Oficiales Fase de Gr'!$E$8,L3,'Resultados Oficiales Fase de Gr'!$G$8)</f>
        <v>1</v>
      </c>
      <c r="N3" s="85" t="str">
        <f>IF('Pollas Fase de Grupos'!P3&gt;'Pollas Fase de Grupos'!Q3,'Pollas Fase de Grupos'!$P$2,IF('Pollas Fase de Grupos'!Q3&gt;'Pollas Fase de Grupos'!P3,'Pollas Fase de Grupos'!$Q$2,"EMPATE"))</f>
        <v>Inglaterra</v>
      </c>
      <c r="O3" s="85">
        <f>PUNTAJE_GANADORES('Pollas Fase de Grupos'!P3,'Resultados Oficiales Fase de Gr'!$D$11,'Pollas Fase de Grupos'!Q3,'Resultados Oficiales Fase de Gr'!$E$11,N3,'Resultados Oficiales Fase de Gr'!$G$11)</f>
        <v>2</v>
      </c>
      <c r="P3" s="4" t="str">
        <f>IF('Pollas Fase de Grupos'!R3&gt;'Pollas Fase de Grupos'!S3,'Pollas Fase de Grupos'!$R$2,IF('Pollas Fase de Grupos'!S3&gt;'Pollas Fase de Grupos'!R3,'Pollas Fase de Grupos'!$S$2,"EMPATE"))</f>
        <v>EMPATE</v>
      </c>
      <c r="Q3" s="85">
        <f>PUNTAJE_GANADORES('Pollas Fase de Grupos'!R3,'Resultados Oficiales Fase de Gr'!$D$12,'Pollas Fase de Grupos'!S3,'Resultados Oficiales Fase de Gr'!$E$12,P3,'Resultados Oficiales Fase de Gr'!$G$12)</f>
        <v>5</v>
      </c>
      <c r="R3" s="85" t="str">
        <f>IF('Pollas Fase de Grupos'!T3&gt;'Pollas Fase de Grupos'!U3,'Pollas Fase de Grupos'!$T$2,IF('Pollas Fase de Grupos'!U3&gt;'Pollas Fase de Grupos'!T3,'Pollas Fase de Grupos'!$U$2,"EMPATE"))</f>
        <v>Inglaterra</v>
      </c>
      <c r="S3" s="4">
        <f>PUNTAJE_GANADORES('Pollas Fase de Grupos'!T3,'Resultados Oficiales Fase de Gr'!$D$13,'Pollas Fase de Grupos'!U3,'Resultados Oficiales Fase de Gr'!$E$13,R3,'Resultados Oficiales Fase de Gr'!$G$13)</f>
        <v>1</v>
      </c>
      <c r="T3" s="85" t="str">
        <f>IF('Pollas Fase de Grupos'!V3&gt;'Pollas Fase de Grupos'!W3,'Pollas Fase de Grupos'!$V$2,IF('Pollas Fase de Grupos'!W3&gt;'Pollas Fase de Grupos'!V3,'Pollas Fase de Grupos'!$W$2,"EMPATE"))</f>
        <v>Gales</v>
      </c>
      <c r="U3" s="86">
        <f>PUNTAJE_GANADORES('Pollas Fase de Grupos'!V3,'Resultados Oficiales Fase de Gr'!$D$14,'Pollas Fase de Grupos'!W3,'Resultados Oficiales Fase de Gr'!$E$14,T3,'Resultados Oficiales Fase de Gr'!$G$14)</f>
        <v>0</v>
      </c>
      <c r="V3" s="85" t="str">
        <f>IF('Pollas Fase de Grupos'!X3&gt;'Pollas Fase de Grupos'!Y3,'Pollas Fase de Grupos'!$X$2,IF('Pollas Fase de Grupos'!Y3&gt;'Pollas Fase de Grupos'!X3,'Pollas Fase de Grupos'!$Y$2,"EMPATE"))</f>
        <v>Inglaterra</v>
      </c>
      <c r="W3" s="85">
        <f>PUNTAJE_GANADORES('Pollas Fase de Grupos'!X3,'Resultados Oficiales Fase de Gr'!$D$15,'Pollas Fase de Grupos'!Y3,'Resultados Oficiales Fase de Gr'!$E$15,V3,'Resultados Oficiales Fase de Gr'!$G$15)</f>
        <v>3</v>
      </c>
      <c r="X3" s="85" t="str">
        <f>IF('Pollas Fase de Grupos'!Z3&gt;'Pollas Fase de Grupos'!AA3,'Pollas Fase de Grupos'!$Z$2,IF('Pollas Fase de Grupos'!AA3&gt;'Pollas Fase de Grupos'!Z3,'Pollas Fase de Grupos'!$AA$2,"EMPATE"))</f>
        <v>Estados Unidos</v>
      </c>
      <c r="Y3" s="87">
        <f>PUNTAJE_GANADORES('Pollas Fase de Grupos'!Z3,'Resultados Oficiales Fase de Gr'!$D$16,'Pollas Fase de Grupos'!AA3,'Resultados Oficiales Fase de Gr'!$E$16,X3,'Resultados Oficiales Fase de Gr'!$G$16)</f>
        <v>5</v>
      </c>
      <c r="Z3" s="85" t="str">
        <f>IF('Pollas Fase de Grupos'!AB3&gt;'Pollas Fase de Grupos'!AC3,'Pollas Fase de Grupos'!$AB$2,IF('Pollas Fase de Grupos'!AC3&gt;'Pollas Fase de Grupos'!AB3,'Pollas Fase de Grupos'!$AC$2,"EMPATE"))</f>
        <v>Argentina</v>
      </c>
      <c r="AA3" s="85">
        <f>PUNTAJE_GANADORES('Pollas Fase de Grupos'!AB3,'Resultados Oficiales Fase de Gr'!$D$19,'Pollas Fase de Grupos'!AC3,'Resultados Oficiales Fase de Gr'!$E$19,Z3,'Resultados Oficiales Fase de Gr'!$G$19)</f>
        <v>0</v>
      </c>
      <c r="AB3" s="85" t="str">
        <f>IF('Pollas Fase de Grupos'!AD3&gt;'Pollas Fase de Grupos'!AE3,'Pollas Fase de Grupos'!$AD$2,IF('Pollas Fase de Grupos'!AE3&gt;'Pollas Fase de Grupos'!AD3,'Pollas Fase de Grupos'!$AE$2,"EMPATE"))</f>
        <v>EMPATE</v>
      </c>
      <c r="AC3" s="85">
        <f>PUNTAJE_GANADORES('Pollas Fase de Grupos'!AD3,'Resultados Oficiales Fase de Gr'!$D$20,'Pollas Fase de Grupos'!AE3,'Resultados Oficiales Fase de Gr'!$E$20,AB3,'Resultados Oficiales Fase de Gr'!$G$20)</f>
        <v>1</v>
      </c>
      <c r="AD3" s="85" t="str">
        <f>IF('Pollas Fase de Grupos'!AF3&gt;'Pollas Fase de Grupos'!AG3,'Pollas Fase de Grupos'!$AF$2,IF('Pollas Fase de Grupos'!AG3&gt;'Pollas Fase de Grupos'!AF3,'Pollas Fase de Grupos'!$AG$2,"EMPATE"))</f>
        <v>Argentina</v>
      </c>
      <c r="AE3" s="85">
        <f>PUNTAJE_GANADORES('Pollas Fase de Grupos'!AF3,'Resultados Oficiales Fase de Gr'!$D$21,'Pollas Fase de Grupos'!AG3,'Resultados Oficiales Fase de Gr'!$E$21,AD3,'Resultados Oficiales Fase de Gr'!$G$21)</f>
        <v>5</v>
      </c>
      <c r="AF3" s="85" t="str">
        <f>IF('Pollas Fase de Grupos'!AH3&gt;'Pollas Fase de Grupos'!AI3,'Pollas Fase de Grupos'!$AH$2,IF('Pollas Fase de Grupos'!AI3&gt;'Pollas Fase de Grupos'!AH3,'Pollas Fase de Grupos'!$AI$2,"EMPATE"))</f>
        <v>Polonia</v>
      </c>
      <c r="AG3" s="85">
        <f>PUNTAJE_GANADORES('Pollas Fase de Grupos'!AH3,'Resultados Oficiales Fase de Gr'!$D$22,'Pollas Fase de Grupos'!AI3,'Resultados Oficiales Fase de Gr'!$E$22,AF3,'Resultados Oficiales Fase de Gr'!$G$22)</f>
        <v>3</v>
      </c>
      <c r="AH3" s="85" t="str">
        <f>IF('Pollas Fase de Grupos'!AJ3&gt;'Pollas Fase de Grupos'!AK3,'Pollas Fase de Grupos'!$AJ$2,IF('Pollas Fase de Grupos'!AK3&gt;'Pollas Fase de Grupos'!AJ3,'Pollas Fase de Grupos'!$AK$2,"EMPATE"))</f>
        <v>Argentina</v>
      </c>
      <c r="AI3" s="85">
        <f>PUNTAJE_GANADORES('Pollas Fase de Grupos'!AJ3,'Resultados Oficiales Fase de Gr'!$D$23,'Pollas Fase de Grupos'!AK3,'Resultados Oficiales Fase de Gr'!$E$23,AH3,'Resultados Oficiales Fase de Gr'!$G$23)</f>
        <v>3</v>
      </c>
      <c r="AJ3" s="85" t="str">
        <f>IF('Pollas Fase de Grupos'!AL3&gt;'Pollas Fase de Grupos'!AM3,'Pollas Fase de Grupos'!$AL$2,IF('Pollas Fase de Grupos'!AM3&gt;'Pollas Fase de Grupos'!AL3,'Pollas Fase de Grupos'!$AM$2,"EMPATE"))</f>
        <v>Mexico</v>
      </c>
      <c r="AK3" s="85">
        <f>PUNTAJE_GANADORES('Pollas Fase de Grupos'!AL3,'Resultados Oficiales Fase de Gr'!$D$24,'Pollas Fase de Grupos'!AM3,'Resultados Oficiales Fase de Gr'!$E$24,AJ3,'Resultados Oficiales Fase de Gr'!$G$24)</f>
        <v>3</v>
      </c>
      <c r="AL3" s="85" t="str">
        <f>IF('Pollas Fase de Grupos'!AN3&gt;'Pollas Fase de Grupos'!AO3,'Pollas Fase de Grupos'!$AN$2,IF('Pollas Fase de Grupos'!AO3&gt;'Pollas Fase de Grupos'!AN3,'Pollas Fase de Grupos'!$AO$2,"EMPATE"))</f>
        <v>Francia</v>
      </c>
      <c r="AM3" s="85">
        <f>PUNTAJE_GANADORES('Pollas Fase de Grupos'!AN3,'Resultados Oficiales Fase de Gr'!$D$27,'Pollas Fase de Grupos'!AO3,'Resultados Oficiales Fase de Gr'!$E$27,AL3,'Resultados Oficiales Fase de Gr'!$G$27)</f>
        <v>2</v>
      </c>
      <c r="AN3" s="85" t="str">
        <f>IF('Pollas Fase de Grupos'!AP3&gt;'Pollas Fase de Grupos'!AQ3,'Pollas Fase de Grupos'!$AP$2,IF('Pollas Fase de Grupos'!AQ3&gt;'Pollas Fase de Grupos'!AP3,'Pollas Fase de Grupos'!$AQ$2,"EMPATE"))</f>
        <v>Dinamarca</v>
      </c>
      <c r="AO3" s="85">
        <f>PUNTAJE_GANADORES('Pollas Fase de Grupos'!AP3,'Resultados Oficiales Fase de Gr'!$D$28,'Pollas Fase de Grupos'!AQ3,'Resultados Oficiales Fase de Gr'!$E$28,AN3,'Resultados Oficiales Fase de Gr'!$G$28)</f>
        <v>1</v>
      </c>
      <c r="AP3" s="85" t="str">
        <f>IF('Pollas Fase de Grupos'!AR3&gt;'Pollas Fase de Grupos'!AS3,'Pollas Fase de Grupos'!$AR$2,IF('Pollas Fase de Grupos'!AS3&gt;'Pollas Fase de Grupos'!AR3,'Pollas Fase de Grupos'!$AS$2,"EMPATE"))</f>
        <v>Francia</v>
      </c>
      <c r="AQ3" s="85">
        <f>PUNTAJE_GANADORES('Pollas Fase de Grupos'!AR3,'Resultados Oficiales Fase de Gr'!$D$29,'Pollas Fase de Grupos'!AS3,'Resultados Oficiales Fase de Gr'!$E$29,AP3,'Resultados Oficiales Fase de Gr'!$G$29)</f>
        <v>5</v>
      </c>
      <c r="AR3" s="85" t="str">
        <f>IF('Pollas Fase de Grupos'!AT3&gt;'Pollas Fase de Grupos'!AU3,'Pollas Fase de Grupos'!$AT$2,IF('Pollas Fase de Grupos'!AU3&gt;'Pollas Fase de Grupos'!AT3,'Pollas Fase de Grupos'!$AU$2,"EMPATE"))</f>
        <v>Australia</v>
      </c>
      <c r="AS3" s="85">
        <f>PUNTAJE_GANADORES('Pollas Fase de Grupos'!AT3,'Resultados Oficiales Fase de Gr'!$D$30,'Pollas Fase de Grupos'!AU3,'Resultados Oficiales Fase de Gr'!$E$30,AR3,'Resultados Oficiales Fase de Gr'!$G$30)</f>
        <v>5</v>
      </c>
      <c r="AT3" s="85" t="str">
        <f>IF('Pollas Fase de Grupos'!AV3&gt;'Pollas Fase de Grupos'!AW3,'Pollas Fase de Grupos'!$AV$2,IF('Pollas Fase de Grupos'!AW3&gt;'Pollas Fase de Grupos'!AV3,'Pollas Fase de Grupos'!$AW$2,"EMPATE"))</f>
        <v>Francia</v>
      </c>
      <c r="AU3" s="85">
        <f>PUNTAJE_GANADORES('Pollas Fase de Grupos'!AV3,'Resultados Oficiales Fase de Gr'!$D$31,'Pollas Fase de Grupos'!AW3,'Resultados Oficiales Fase de Gr'!$E$31,AT3,'Resultados Oficiales Fase de Gr'!$G$31)</f>
        <v>0</v>
      </c>
      <c r="AV3" s="85" t="str">
        <f>IF('Pollas Fase de Grupos'!AX3&gt;'Pollas Fase de Grupos'!AY3,'Pollas Fase de Grupos'!$AX$2,IF('Pollas Fase de Grupos'!AY3&gt;'Pollas Fase de Grupos'!AX3,'Pollas Fase de Grupos'!$AY$2,"EMPATE"))</f>
        <v>Dinamarca</v>
      </c>
      <c r="AW3" s="85">
        <f>PUNTAJE_GANADORES('Pollas Fase de Grupos'!AX3,'Resultados Oficiales Fase de Gr'!$D$32,'Pollas Fase de Grupos'!AY3,'Resultados Oficiales Fase de Gr'!$E$32,AV3,'Resultados Oficiales Fase de Gr'!$G$32)</f>
        <v>1</v>
      </c>
      <c r="AX3" s="85" t="str">
        <f>IF('Pollas Fase de Grupos'!AZ3&gt;'Pollas Fase de Grupos'!BA3,'Pollas Fase de Grupos'!$AZ$2,IF('Pollas Fase de Grupos'!BA3&gt;'Pollas Fase de Grupos'!AZ3,'Pollas Fase de Grupos'!$BA$2,"EMPATE"))</f>
        <v>España</v>
      </c>
      <c r="AY3" s="85">
        <f>PUNTAJE_GANADORES('Pollas Fase de Grupos'!AZ3,'Resultados Oficiales Fase de Gr'!$D$35,'Pollas Fase de Grupos'!BA3,'Resultados Oficiales Fase de Gr'!$E$35,AX3,'Resultados Oficiales Fase de Gr'!$G$35)</f>
        <v>1</v>
      </c>
      <c r="AZ3" s="85" t="str">
        <f>IF('Pollas Fase de Grupos'!BB3&gt;'Pollas Fase de Grupos'!BC3,'Pollas Fase de Grupos'!$BB$2,IF('Pollas Fase de Grupos'!BC3&gt;'Pollas Fase de Grupos'!BB3,'Pollas Fase de Grupos'!$BC$2,"EMPATE"))</f>
        <v>Alemania</v>
      </c>
      <c r="BA3" s="85">
        <f>PUNTAJE_GANADORES('Pollas Fase de Grupos'!BB3,'Resultados Oficiales Fase de Gr'!$D$36,'Pollas Fase de Grupos'!BC3,'Resultados Oficiales Fase de Gr'!$E$36,AZ3,'Resultados Oficiales Fase de Gr'!$G$36)</f>
        <v>0</v>
      </c>
      <c r="BB3" s="85" t="str">
        <f>IF('Pollas Fase de Grupos'!BD3&gt;'Pollas Fase de Grupos'!BE3,'Pollas Fase de Grupos'!$BD$2,IF('Pollas Fase de Grupos'!BE3&gt;'Pollas Fase de Grupos'!BD3,'Pollas Fase de Grupos'!$BE$2,"EMPATE"))</f>
        <v>Alemania</v>
      </c>
      <c r="BC3" s="85">
        <f>PUNTAJE_GANADORES('Pollas Fase de Grupos'!BD3,'Resultados Oficiales Fase de Gr'!$D$37,'Pollas Fase de Grupos'!BE3,'Resultados Oficiales Fase de Gr'!$E$37,BB3,'Resultados Oficiales Fase de Gr'!$G$37)</f>
        <v>1</v>
      </c>
      <c r="BD3" s="85" t="str">
        <f>IF('Pollas Fase de Grupos'!BF3&gt;'Pollas Fase de Grupos'!BG3,'Pollas Fase de Grupos'!$BF$2,IF('Pollas Fase de Grupos'!BG3&gt;'Pollas Fase de Grupos'!BF3,'Pollas Fase de Grupos'!$BG$2,"EMPATE"))</f>
        <v>EMPATE</v>
      </c>
      <c r="BE3" s="85">
        <f>PUNTAJE_GANADORES('Pollas Fase de Grupos'!BF3,'Resultados Oficiales Fase de Gr'!$D$38,'Pollas Fase de Grupos'!BG3,'Resultados Oficiales Fase de Gr'!$E$38,BD3,'Resultados Oficiales Fase de Gr'!$G$38)</f>
        <v>1</v>
      </c>
      <c r="BF3" s="85" t="str">
        <f>IF('Pollas Fase de Grupos'!BH3&gt;'Pollas Fase de Grupos'!BI3,'Pollas Fase de Grupos'!$BH$2,IF('Pollas Fase de Grupos'!BI3&gt;'Pollas Fase de Grupos'!BH3,'Pollas Fase de Grupos'!$BI$2,"EMPATE"))</f>
        <v>España</v>
      </c>
      <c r="BG3" s="85">
        <f>PUNTAJE_GANADORES('Pollas Fase de Grupos'!BH3,'Resultados Oficiales Fase de Gr'!$D$39,'Pollas Fase de Grupos'!BI3,'Resultados Oficiales Fase de Gr'!$E$39,BF3,'Resultados Oficiales Fase de Gr'!$G$39)</f>
        <v>0</v>
      </c>
      <c r="BH3" s="85" t="str">
        <f>IF('Pollas Fase de Grupos'!BJ3&gt;'Pollas Fase de Grupos'!BK3,'Pollas Fase de Grupos'!$BJ$2,IF('Pollas Fase de Grupos'!BK3&gt;'Pollas Fase de Grupos'!BJ3,'Pollas Fase de Grupos'!$BK$2,"EMPATE"))</f>
        <v>Alemania</v>
      </c>
      <c r="BI3" s="85">
        <f>PUNTAJE_GANADORES('Pollas Fase de Grupos'!BJ3,'Resultados Oficiales Fase de Gr'!$D$40,'Pollas Fase de Grupos'!BK3,'Resultados Oficiales Fase de Gr'!$E$40,BH3,'Resultados Oficiales Fase de Gr'!$G$40)</f>
        <v>2</v>
      </c>
      <c r="BJ3" s="85" t="str">
        <f>IF('Pollas Fase de Grupos'!BL3&gt;'Pollas Fase de Grupos'!BM3,'Pollas Fase de Grupos'!$BL$2,IF('Pollas Fase de Grupos'!BM3&gt;'Pollas Fase de Grupos'!BL3,'Pollas Fase de Grupos'!$BM$2,"EMPATE"))</f>
        <v>Belgica</v>
      </c>
      <c r="BK3" s="85">
        <f>PUNTAJE_GANADORES('Pollas Fase de Grupos'!BL3,'Resultados Oficiales Fase de Gr'!$D$43,'Pollas Fase de Grupos'!BM3,'Resultados Oficiales Fase de Gr'!$E$43,BJ3,'Resultados Oficiales Fase de Gr'!$G$43)</f>
        <v>5</v>
      </c>
      <c r="BL3" s="85" t="str">
        <f>IF('Pollas Fase de Grupos'!BN3&gt;'Pollas Fase de Grupos'!BO3,'Pollas Fase de Grupos'!$BN$2,IF('Pollas Fase de Grupos'!BO3&gt;'Pollas Fase de Grupos'!BN3,'Pollas Fase de Grupos'!$BO$2,"EMPATE"))</f>
        <v>Croacia</v>
      </c>
      <c r="BM3" s="85">
        <f>PUNTAJE_GANADORES('Pollas Fase de Grupos'!BN3,'Resultados Oficiales Fase de Gr'!$D$44,'Pollas Fase de Grupos'!BO3,'Resultados Oficiales Fase de Gr'!$E$44,BL3,'Resultados Oficiales Fase de Gr'!$G$44)</f>
        <v>0</v>
      </c>
      <c r="BN3" s="85" t="str">
        <f>IF('Pollas Fase de Grupos'!BP3&gt;'Pollas Fase de Grupos'!BQ3,'Pollas Fase de Grupos'!$BP$2,IF('Pollas Fase de Grupos'!BQ3&gt;'Pollas Fase de Grupos'!BP3,'Pollas Fase de Grupos'!$BQ$2,"EMPATE"))</f>
        <v>Belgica</v>
      </c>
      <c r="BO3" s="85">
        <f>PUNTAJE_GANADORES('Pollas Fase de Grupos'!BP3,'Resultados Oficiales Fase de Gr'!$D$45,'Pollas Fase de Grupos'!BQ3,'Resultados Oficiales Fase de Gr'!$E$45,BN3,'Resultados Oficiales Fase de Gr'!$G$45)</f>
        <v>0</v>
      </c>
      <c r="BP3" s="85" t="str">
        <f>IF('Pollas Fase de Grupos'!BR3&gt;'Pollas Fase de Grupos'!BS3,'Pollas Fase de Grupos'!$BR$2,IF('Pollas Fase de Grupos'!BS3&gt;'Pollas Fase de Grupos'!BR3,'Pollas Fase de Grupos'!$BS$2,"EMPATE"))</f>
        <v>Croacia</v>
      </c>
      <c r="BQ3" s="85">
        <f>PUNTAJE_GANADORES('Pollas Fase de Grupos'!BR3,'Resultados Oficiales Fase de Gr'!$D$46,'Pollas Fase de Grupos'!BS3,'Resultados Oficiales Fase de Gr'!$E$46,BP3,'Resultados Oficiales Fase de Gr'!$G$46)</f>
        <v>3</v>
      </c>
      <c r="BR3" s="85" t="str">
        <f>IF('Pollas Fase de Grupos'!BT3&gt;'Pollas Fase de Grupos'!BU3,'Pollas Fase de Grupos'!$BT$2,IF('Pollas Fase de Grupos'!BU3&gt;'Pollas Fase de Grupos'!BT3,'Pollas Fase de Grupos'!$BU$2,"EMPATE"))</f>
        <v>Belgica</v>
      </c>
      <c r="BS3" s="85">
        <f>PUNTAJE_GANADORES('Pollas Fase de Grupos'!BT3,'Resultados Oficiales Fase de Gr'!$D$47,'Pollas Fase de Grupos'!BU3,'Resultados Oficiales Fase de Gr'!$E$47,BR3,'Resultados Oficiales Fase de Gr'!$G$47)</f>
        <v>1</v>
      </c>
      <c r="BT3" s="85" t="str">
        <f>IF('Pollas Fase de Grupos'!BV3&gt;'Pollas Fase de Grupos'!BW3,'Pollas Fase de Grupos'!$BV$2,IF('Pollas Fase de Grupos'!BW3&gt;'Pollas Fase de Grupos'!BV3,'Pollas Fase de Grupos'!$BW$2,"EMPATE"))</f>
        <v>Marruecos</v>
      </c>
      <c r="BU3" s="85">
        <f>PUNTAJE_GANADORES('Pollas Fase de Grupos'!BV3,'Resultados Oficiales Fase de Gr'!$D$48,'Pollas Fase de Grupos'!BW3,'Resultados Oficiales Fase de Gr'!$E$48,BT3,'Resultados Oficiales Fase de Gr'!$G$48)</f>
        <v>3</v>
      </c>
      <c r="BV3" s="85" t="str">
        <f>IF('Pollas Fase de Grupos'!BX3&gt;'Pollas Fase de Grupos'!BY3,'Pollas Fase de Grupos'!$BX$2,IF('Pollas Fase de Grupos'!BY3&gt;'Pollas Fase de Grupos'!BX3,'Pollas Fase de Grupos'!$BY$2,"EMPATE"))</f>
        <v>Brasil</v>
      </c>
      <c r="BW3" s="85">
        <f>PUNTAJE_GANADORES('Pollas Fase de Grupos'!BX3,'Resultados Oficiales Fase de Gr'!$D$51,'Pollas Fase de Grupos'!BY3,'Resultados Oficiales Fase de Gr'!$E$51,BV3,'Resultados Oficiales Fase de Gr'!$G$51)</f>
        <v>5</v>
      </c>
      <c r="BX3" s="85" t="str">
        <f>IF('Pollas Fase de Grupos'!BZ3&gt;'Pollas Fase de Grupos'!CA3,'Pollas Fase de Grupos'!$BZ$2,IF('Pollas Fase de Grupos'!CA3&gt;'Pollas Fase de Grupos'!BZ3,'Pollas Fase de Grupos'!$CA$2,"EMPATE"))</f>
        <v>EMPATE</v>
      </c>
      <c r="BY3" s="85">
        <f>PUNTAJE_GANADORES('Pollas Fase de Grupos'!BZ3,'Resultados Oficiales Fase de Gr'!$D$52,'Pollas Fase de Grupos'!CA3,'Resultados Oficiales Fase de Gr'!$E$52,BX3,'Resultados Oficiales Fase de Gr'!$G$52)</f>
        <v>1</v>
      </c>
      <c r="BZ3" s="85" t="str">
        <f>IF('Pollas Fase de Grupos'!CB3&gt;'Pollas Fase de Grupos'!CC3,'Pollas Fase de Grupos'!$CB$2,IF('Pollas Fase de Grupos'!CC3&gt;'Pollas Fase de Grupos'!CB3,'Pollas Fase de Grupos'!$CC$2,"EMPATE"))</f>
        <v>Brasil</v>
      </c>
      <c r="CA3" s="85">
        <f>PUNTAJE_GANADORES('Pollas Fase de Grupos'!CB3,'Resultados Oficiales Fase de Gr'!$D$53,'Pollas Fase de Grupos'!CC3,'Resultados Oficiales Fase de Gr'!$E$53,BZ3,'Resultados Oficiales Fase de Gr'!$G$53)</f>
        <v>2</v>
      </c>
      <c r="CB3" s="85" t="str">
        <f>IF('Pollas Fase de Grupos'!CD3&gt;'Pollas Fase de Grupos'!CE3,'Pollas Fase de Grupos'!$CD$2,IF('Pollas Fase de Grupos'!CE3&gt;'Pollas Fase de Grupos'!CD3,'Pollas Fase de Grupos'!$CE$2,"EMPATE"))</f>
        <v>Camerun</v>
      </c>
      <c r="CC3" s="85">
        <f>PUNTAJE_GANADORES('Pollas Fase de Grupos'!CD3,'Resultados Oficiales Fase de Gr'!$D$54,'Pollas Fase de Grupos'!CE3,'Resultados Oficiales Fase de Gr'!$E$54,CB3,'Resultados Oficiales Fase de Gr'!$G$54)</f>
        <v>0</v>
      </c>
      <c r="CD3" s="85" t="str">
        <f>IF('Pollas Fase de Grupos'!CF3&gt;'Pollas Fase de Grupos'!CG3,'Pollas Fase de Grupos'!$CF$2,IF('Pollas Fase de Grupos'!CG3&gt;'Pollas Fase de Grupos'!CF3,'Pollas Fase de Grupos'!$CG$2,"EMPATE"))</f>
        <v>Brasil</v>
      </c>
      <c r="CE3" s="85">
        <f>PUNTAJE_GANADORES('Pollas Fase de Grupos'!CF3,'Resultados Oficiales Fase de Gr'!$D$55,'Pollas Fase de Grupos'!CG3,'Resultados Oficiales Fase de Gr'!$E$55,CD3,'Resultados Oficiales Fase de Gr'!$G$55)</f>
        <v>1</v>
      </c>
      <c r="CF3" s="85" t="str">
        <f>IF('Pollas Fase de Grupos'!CH3&gt;'Pollas Fase de Grupos'!CI3,'Pollas Fase de Grupos'!$CH$2,IF('Pollas Fase de Grupos'!CI3&gt;'Pollas Fase de Grupos'!CH3,'Pollas Fase de Grupos'!$CI$2,"EMPATE"))</f>
        <v>Suiza</v>
      </c>
      <c r="CG3" s="85">
        <f>PUNTAJE_GANADORES('Pollas Fase de Grupos'!CH3,'Resultados Oficiales Fase de Gr'!$D$56,'Pollas Fase de Grupos'!CI3,'Resultados Oficiales Fase de Gr'!$E$56,CF3,'Resultados Oficiales Fase de Gr'!$G$56)</f>
        <v>2</v>
      </c>
      <c r="CH3" s="85" t="str">
        <f>IF('Pollas Fase de Grupos'!CJ3&gt;'Pollas Fase de Grupos'!CK3,'Pollas Fase de Grupos'!$CJ$2,IF('Pollas Fase de Grupos'!CK3&gt;'Pollas Fase de Grupos'!CJ3,'Pollas Fase de Grupos'!$CK$2,"EMPATE"))</f>
        <v>Portugal</v>
      </c>
      <c r="CI3" s="85">
        <f>PUNTAJE_GANADORES('Pollas Fase de Grupos'!CJ3,'Resultados Oficiales Fase de Gr'!$D$59,'Pollas Fase de Grupos'!CK3,'Resultados Oficiales Fase de Gr'!$E$59,CH3,'Resultados Oficiales Fase de Gr'!$G$59)</f>
        <v>2</v>
      </c>
      <c r="CJ3" s="85" t="str">
        <f>IF('Pollas Fase de Grupos'!CL3&gt;'Pollas Fase de Grupos'!CM3,'Pollas Fase de Grupos'!$CL$2,IF('Pollas Fase de Grupos'!CM3&gt;'Pollas Fase de Grupos'!CL3,'Pollas Fase de Grupos'!$CM$2,"EMPATE"))</f>
        <v>Uruguay</v>
      </c>
      <c r="CK3" s="85">
        <f>PUNTAJE_GANADORES('Pollas Fase de Grupos'!CL3,'Resultados Oficiales Fase de Gr'!$D$60,'Pollas Fase de Grupos'!CM3,'Resultados Oficiales Fase de Gr'!$E$60,CJ3,'Resultados Oficiales Fase de Gr'!$G$60)</f>
        <v>1</v>
      </c>
      <c r="CL3" s="85" t="str">
        <f>IF('Pollas Fase de Grupos'!CN3&gt;'Pollas Fase de Grupos'!CO3,'Pollas Fase de Grupos'!$CN$2,IF('Pollas Fase de Grupos'!CO3&gt;'Pollas Fase de Grupos'!CN3,'Pollas Fase de Grupos'!$CO$2,"EMPATE"))</f>
        <v>Portugal</v>
      </c>
      <c r="CM3" s="85">
        <f>PUNTAJE_GANADORES('Pollas Fase de Grupos'!CN3,'Resultados Oficiales Fase de Gr'!$D$61,'Pollas Fase de Grupos'!CO3,'Resultados Oficiales Fase de Gr'!$E$61,CL3,'Resultados Oficiales Fase de Gr'!$G$61)</f>
        <v>3</v>
      </c>
      <c r="CN3" s="85" t="str">
        <f>IF('Pollas Fase de Grupos'!CP3&gt;'Pollas Fase de Grupos'!CQ3,'Pollas Fase de Grupos'!$CP$2,IF('Pollas Fase de Grupos'!CQ3&gt;'Pollas Fase de Grupos'!CP3,'Pollas Fase de Grupos'!$CQ$2,"EMPATE"))</f>
        <v>Ghana</v>
      </c>
      <c r="CO3" s="85">
        <f>PUNTAJE_GANADORES('Pollas Fase de Grupos'!CP3,'Resultados Oficiales Fase de Gr'!$D$62,'Pollas Fase de Grupos'!CQ3,'Resultados Oficiales Fase de Gr'!$E$62,CN3,'Resultados Oficiales Fase de Gr'!$G$62)</f>
        <v>2</v>
      </c>
      <c r="CP3" s="85" t="str">
        <f>IF('Pollas Fase de Grupos'!CR3&gt;'Pollas Fase de Grupos'!CS3,'Pollas Fase de Grupos'!$CR$2,IF('Pollas Fase de Grupos'!CS3&gt;'Pollas Fase de Grupos'!CR3,'Pollas Fase de Grupos'!$CS$2,"EMPATE"))</f>
        <v>Portugal</v>
      </c>
      <c r="CQ3" s="85">
        <f>PUNTAJE_GANADORES('Pollas Fase de Grupos'!CR3,'Resultados Oficiales Fase de Gr'!$D$63,'Pollas Fase de Grupos'!CS3,'Resultados Oficiales Fase de Gr'!$E$63,CP3,'Resultados Oficiales Fase de Gr'!$G$63)</f>
        <v>0</v>
      </c>
      <c r="CR3" s="85" t="str">
        <f>IF('Pollas Fase de Grupos'!CT3&gt;'Pollas Fase de Grupos'!CU3,'Pollas Fase de Grupos'!$CT$2,IF('Pollas Fase de Grupos'!CU3&gt;'Pollas Fase de Grupos'!CT3,'Pollas Fase de Grupos'!$CU$2,"EMPATE"))</f>
        <v>Ghana</v>
      </c>
      <c r="CS3" s="85">
        <f>PUNTAJE_GANADORES('Pollas Fase de Grupos'!CT3,'Resultados Oficiales Fase de Gr'!$D$64,'Pollas Fase de Grupos'!CU3,'Resultados Oficiales Fase de Gr'!$E$64,CR3,'Resultados Oficiales Fase de Gr'!$G$64)</f>
        <v>0</v>
      </c>
      <c r="CT3" s="4">
        <f t="shared" ref="CT3:CT31" si="1">SUM(CS3,CQ3,CO3,CM3,CK3,CI3,CG3,CE3,CC3,CA3,BY3,BW3,BU3,BS3,BQ3,BO3,BM3,BK3,BI3,BG3,BE3,BC3,BA3,AY3,AW3,AU3,AS3,AQ3,AO3,AM3,AK3,AI3,AG3,AE3,AC3,AA3,Y3,W3,U3,S3,Q3,O3,M3,K3,I3,G3,E3,C3)</f>
        <v>92</v>
      </c>
      <c r="CU3" s="17">
        <v>66.0</v>
      </c>
      <c r="CV3" s="3">
        <f t="shared" ref="CV3:CV31" si="2">SUM(CU3,K3,M3,W3,Y3,AW3,AU3,AI3,AK3,BS3,BU3,BG3,BI3,CS3,CQ3,CG3,CE3)</f>
        <v>94</v>
      </c>
    </row>
    <row r="4">
      <c r="A4" s="3" t="str">
        <f>'Pollas Fase de Grupos'!CV4</f>
        <v>La qatarsis mundial</v>
      </c>
      <c r="B4" s="4" t="str">
        <f>IF('Pollas Fase de Grupos'!D4&gt;'Pollas Fase de Grupos'!E4,'Pollas Fase de Grupos'!$D$2,IF('Pollas Fase de Grupos'!E4&gt;'Pollas Fase de Grupos'!D4,'Pollas Fase de Grupos'!$E$2,"EMPATE"))</f>
        <v>Ecuador</v>
      </c>
      <c r="C4" s="4">
        <f>PUNTAJE_GANADORES('Pollas Fase de Grupos'!D4,'Resultados Oficiales Fase de Gr'!$D$3,'Pollas Fase de Grupos'!E4,'Resultados Oficiales Fase de Gr'!$E$3,B4,'Resultados Oficiales Fase de Gr'!$G$3)</f>
        <v>3</v>
      </c>
      <c r="D4" s="85" t="str">
        <f>IF('Pollas Fase de Grupos'!F4&gt;'Pollas Fase de Grupos'!G4,'Pollas Fase de Grupos'!$F$2,IF('Pollas Fase de Grupos'!G4&gt;'Pollas Fase de Grupos'!F4,'Pollas Fase de Grupos'!$G$2,"EMPATE"))</f>
        <v>Paises Bajos</v>
      </c>
      <c r="E4" s="4">
        <f>PUNTAJE_GANADORES('Pollas Fase de Grupos'!F4,'Resultados Oficiales Fase de Gr'!$D$4,'Pollas Fase de Grupos'!G4,'Resultados Oficiales Fase de Gr'!$E$4,D4,'Resultados Oficiales Fase de Gr'!$G$4)</f>
        <v>2</v>
      </c>
      <c r="F4" s="85" t="str">
        <f>IF('Pollas Fase de Grupos'!H4&gt;'Pollas Fase de Grupos'!I4,'Pollas Fase de Grupos'!$H$2,IF('Pollas Fase de Grupos'!I4&gt;'Pollas Fase de Grupos'!H4,'Pollas Fase de Grupos'!$I$2,"EMPATE"))</f>
        <v>EMPATE</v>
      </c>
      <c r="G4" s="4">
        <f>PUNTAJE_GANADORES('Pollas Fase de Grupos'!H4,'Resultados Oficiales Fase de Gr'!$D$5,'Pollas Fase de Grupos'!I4,'Resultados Oficiales Fase de Gr'!$E$5,F4,'Resultados Oficiales Fase de Gr'!$G$5)</f>
        <v>1</v>
      </c>
      <c r="H4" s="85" t="str">
        <f>IF('Pollas Fase de Grupos'!J4&gt;'Pollas Fase de Grupos'!K4,'Pollas Fase de Grupos'!$J$2,IF('Pollas Fase de Grupos'!K4&gt;'Pollas Fase de Grupos'!J4,'Pollas Fase de Grupos'!$K$2,"EMPATE"))</f>
        <v>Paises Bajos</v>
      </c>
      <c r="I4" s="4">
        <f>PUNTAJE_GANADORES('Pollas Fase de Grupos'!J4,'Resultados Oficiales Fase de Gr'!$D$6,'Pollas Fase de Grupos'!K4,'Resultados Oficiales Fase de Gr'!$E$6,H4,'Resultados Oficiales Fase de Gr'!$G$6)</f>
        <v>0</v>
      </c>
      <c r="J4" s="85" t="str">
        <f>IF('Pollas Fase de Grupos'!L4&gt;'Pollas Fase de Grupos'!M4,'Pollas Fase de Grupos'!$L$2,IF('Pollas Fase de Grupos'!M4&gt;'Pollas Fase de Grupos'!L4,'Pollas Fase de Grupos'!$M$2,"EMPATE"))</f>
        <v>EMPATE</v>
      </c>
      <c r="K4" s="4">
        <f>PUNTAJE_GANADORES('Pollas Fase de Grupos'!L4,'Resultados Oficiales Fase de Gr'!$D$7,'Pollas Fase de Grupos'!M4,'Resultados Oficiales Fase de Gr'!$E$7,J4,'Resultados Oficiales Fase de Gr'!$G$7)</f>
        <v>0</v>
      </c>
      <c r="L4" s="85" t="str">
        <f>IF('Pollas Fase de Grupos'!N4&gt;'Pollas Fase de Grupos'!O4,'Pollas Fase de Grupos'!$N$2,IF('Pollas Fase de Grupos'!O4&gt;'Pollas Fase de Grupos'!N4,'Pollas Fase de Grupos'!$O$2,"EMPATE"))</f>
        <v>EMPATE</v>
      </c>
      <c r="M4" s="85">
        <f>PUNTAJE_GANADORES('Pollas Fase de Grupos'!N4,'Resultados Oficiales Fase de Gr'!$D$8,'Pollas Fase de Grupos'!O4,'Resultados Oficiales Fase de Gr'!$E$8,L4,'Resultados Oficiales Fase de Gr'!$G$8)</f>
        <v>1</v>
      </c>
      <c r="N4" s="85" t="str">
        <f>IF('Pollas Fase de Grupos'!P4&gt;'Pollas Fase de Grupos'!Q4,'Pollas Fase de Grupos'!$P$2,IF('Pollas Fase de Grupos'!Q4&gt;'Pollas Fase de Grupos'!P4,'Pollas Fase de Grupos'!$Q$2,"EMPATE"))</f>
        <v>Inglaterra</v>
      </c>
      <c r="O4" s="85">
        <f>PUNTAJE_GANADORES('Pollas Fase de Grupos'!P4,'Resultados Oficiales Fase de Gr'!$D$11,'Pollas Fase de Grupos'!Q4,'Resultados Oficiales Fase de Gr'!$E$11,N4,'Resultados Oficiales Fase de Gr'!$G$11)</f>
        <v>2</v>
      </c>
      <c r="P4" s="4" t="str">
        <f>IF('Pollas Fase de Grupos'!R4&gt;'Pollas Fase de Grupos'!S4,'Pollas Fase de Grupos'!$R$2,IF('Pollas Fase de Grupos'!S4&gt;'Pollas Fase de Grupos'!R4,'Pollas Fase de Grupos'!$S$2,"EMPATE"))</f>
        <v>EMPATE</v>
      </c>
      <c r="Q4" s="85">
        <f>PUNTAJE_GANADORES('Pollas Fase de Grupos'!R4,'Resultados Oficiales Fase de Gr'!$D$12,'Pollas Fase de Grupos'!S4,'Resultados Oficiales Fase de Gr'!$E$12,P4,'Resultados Oficiales Fase de Gr'!$G$12)</f>
        <v>1</v>
      </c>
      <c r="R4" s="85" t="str">
        <f>IF('Pollas Fase de Grupos'!T4&gt;'Pollas Fase de Grupos'!U4,'Pollas Fase de Grupos'!$T$2,IF('Pollas Fase de Grupos'!U4&gt;'Pollas Fase de Grupos'!T4,'Pollas Fase de Grupos'!$U$2,"EMPATE"))</f>
        <v>Inglaterra</v>
      </c>
      <c r="S4" s="4">
        <f>PUNTAJE_GANADORES('Pollas Fase de Grupos'!T4,'Resultados Oficiales Fase de Gr'!$D$13,'Pollas Fase de Grupos'!U4,'Resultados Oficiales Fase de Gr'!$E$13,R4,'Resultados Oficiales Fase de Gr'!$G$13)</f>
        <v>1</v>
      </c>
      <c r="T4" s="85" t="str">
        <f>IF('Pollas Fase de Grupos'!V4&gt;'Pollas Fase de Grupos'!W4,'Pollas Fase de Grupos'!$V$2,IF('Pollas Fase de Grupos'!W4&gt;'Pollas Fase de Grupos'!V4,'Pollas Fase de Grupos'!$W$2,"EMPATE"))</f>
        <v>EMPATE</v>
      </c>
      <c r="U4" s="86">
        <f>PUNTAJE_GANADORES('Pollas Fase de Grupos'!V4,'Resultados Oficiales Fase de Gr'!$D$14,'Pollas Fase de Grupos'!W4,'Resultados Oficiales Fase de Gr'!$E$14,T4,'Resultados Oficiales Fase de Gr'!$G$14)</f>
        <v>1</v>
      </c>
      <c r="V4" s="85" t="str">
        <f>IF('Pollas Fase de Grupos'!X4&gt;'Pollas Fase de Grupos'!Y4,'Pollas Fase de Grupos'!$X$2,IF('Pollas Fase de Grupos'!Y4&gt;'Pollas Fase de Grupos'!X4,'Pollas Fase de Grupos'!$Y$2,"EMPATE"))</f>
        <v>EMPATE</v>
      </c>
      <c r="W4" s="85">
        <f>PUNTAJE_GANADORES('Pollas Fase de Grupos'!X4,'Resultados Oficiales Fase de Gr'!$D$15,'Pollas Fase de Grupos'!Y4,'Resultados Oficiales Fase de Gr'!$E$15,V4,'Resultados Oficiales Fase de Gr'!$G$15)</f>
        <v>1</v>
      </c>
      <c r="X4" s="88" t="str">
        <f>IF('Pollas Fase de Grupos'!Z4&gt;'Pollas Fase de Grupos'!AA4,'Pollas Fase de Grupos'!$Z$2,IF('Pollas Fase de Grupos'!AA4&gt;'Pollas Fase de Grupos'!Z4,'Pollas Fase de Grupos'!$AA$2,"EMPATE"))</f>
        <v>Iran</v>
      </c>
      <c r="Y4" s="87">
        <f>PUNTAJE_GANADORES('Pollas Fase de Grupos'!Z4,'Resultados Oficiales Fase de Gr'!$D$16,'Pollas Fase de Grupos'!AA4,'Resultados Oficiales Fase de Gr'!$E$16,X4,'Resultados Oficiales Fase de Gr'!$G$16)</f>
        <v>0</v>
      </c>
      <c r="Z4" s="85" t="str">
        <f>IF('Pollas Fase de Grupos'!AB4&gt;'Pollas Fase de Grupos'!AC4,'Pollas Fase de Grupos'!$AB$2,IF('Pollas Fase de Grupos'!AC4&gt;'Pollas Fase de Grupos'!AB4,'Pollas Fase de Grupos'!$AC$2,"EMPATE"))</f>
        <v>Argentina</v>
      </c>
      <c r="AA4" s="85">
        <f>PUNTAJE_GANADORES('Pollas Fase de Grupos'!AB4,'Resultados Oficiales Fase de Gr'!$D$19,'Pollas Fase de Grupos'!AC4,'Resultados Oficiales Fase de Gr'!$E$19,Z4,'Resultados Oficiales Fase de Gr'!$G$19)</f>
        <v>0</v>
      </c>
      <c r="AB4" s="85" t="str">
        <f>IF('Pollas Fase de Grupos'!AD4&gt;'Pollas Fase de Grupos'!AE4,'Pollas Fase de Grupos'!$AD$2,IF('Pollas Fase de Grupos'!AE4&gt;'Pollas Fase de Grupos'!AD4,'Pollas Fase de Grupos'!$AE$2,"EMPATE"))</f>
        <v>Mexico</v>
      </c>
      <c r="AC4" s="85">
        <f>PUNTAJE_GANADORES('Pollas Fase de Grupos'!AD4,'Resultados Oficiales Fase de Gr'!$D$20,'Pollas Fase de Grupos'!AE4,'Resultados Oficiales Fase de Gr'!$E$20,AB4,'Resultados Oficiales Fase de Gr'!$G$20)</f>
        <v>1</v>
      </c>
      <c r="AD4" s="85" t="str">
        <f>IF('Pollas Fase de Grupos'!AF4&gt;'Pollas Fase de Grupos'!AG4,'Pollas Fase de Grupos'!$AF$2,IF('Pollas Fase de Grupos'!AG4&gt;'Pollas Fase de Grupos'!AF4,'Pollas Fase de Grupos'!$AG$2,"EMPATE"))</f>
        <v>EMPATE</v>
      </c>
      <c r="AE4" s="85">
        <f>PUNTAJE_GANADORES('Pollas Fase de Grupos'!AF4,'Resultados Oficiales Fase de Gr'!$D$21,'Pollas Fase de Grupos'!AG4,'Resultados Oficiales Fase de Gr'!$E$21,AD4,'Resultados Oficiales Fase de Gr'!$G$21)</f>
        <v>0</v>
      </c>
      <c r="AF4" s="85" t="str">
        <f>IF('Pollas Fase de Grupos'!AH4&gt;'Pollas Fase de Grupos'!AI4,'Pollas Fase de Grupos'!$AH$2,IF('Pollas Fase de Grupos'!AI4&gt;'Pollas Fase de Grupos'!AH4,'Pollas Fase de Grupos'!$AI$2,"EMPATE"))</f>
        <v>Polonia</v>
      </c>
      <c r="AG4" s="85">
        <f>PUNTAJE_GANADORES('Pollas Fase de Grupos'!AH4,'Resultados Oficiales Fase de Gr'!$D$22,'Pollas Fase de Grupos'!AI4,'Resultados Oficiales Fase de Gr'!$E$22,AF4,'Resultados Oficiales Fase de Gr'!$G$22)</f>
        <v>3</v>
      </c>
      <c r="AH4" s="85" t="str">
        <f>IF('Pollas Fase de Grupos'!AJ4&gt;'Pollas Fase de Grupos'!AK4,'Pollas Fase de Grupos'!$AJ$2,IF('Pollas Fase de Grupos'!AK4&gt;'Pollas Fase de Grupos'!AJ4,'Pollas Fase de Grupos'!$AK$2,"EMPATE"))</f>
        <v>EMPATE</v>
      </c>
      <c r="AI4" s="85">
        <f>PUNTAJE_GANADORES('Pollas Fase de Grupos'!AJ4,'Resultados Oficiales Fase de Gr'!$D$23,'Pollas Fase de Grupos'!AK4,'Resultados Oficiales Fase de Gr'!$E$23,AH4,'Resultados Oficiales Fase de Gr'!$G$23)</f>
        <v>1</v>
      </c>
      <c r="AJ4" s="85" t="str">
        <f>IF('Pollas Fase de Grupos'!AL4&gt;'Pollas Fase de Grupos'!AM4,'Pollas Fase de Grupos'!$AL$2,IF('Pollas Fase de Grupos'!AM4&gt;'Pollas Fase de Grupos'!AL4,'Pollas Fase de Grupos'!$AM$2,"EMPATE"))</f>
        <v>EMPATE</v>
      </c>
      <c r="AK4" s="85">
        <f>PUNTAJE_GANADORES('Pollas Fase de Grupos'!AL4,'Resultados Oficiales Fase de Gr'!$D$24,'Pollas Fase de Grupos'!AM4,'Resultados Oficiales Fase de Gr'!$E$24,AJ4,'Resultados Oficiales Fase de Gr'!$G$24)</f>
        <v>0</v>
      </c>
      <c r="AL4" s="85" t="str">
        <f>IF('Pollas Fase de Grupos'!AN4&gt;'Pollas Fase de Grupos'!AO4,'Pollas Fase de Grupos'!$AN$2,IF('Pollas Fase de Grupos'!AO4&gt;'Pollas Fase de Grupos'!AN4,'Pollas Fase de Grupos'!$AO$2,"EMPATE"))</f>
        <v>Francia</v>
      </c>
      <c r="AM4" s="85">
        <f>PUNTAJE_GANADORES('Pollas Fase de Grupos'!AN4,'Resultados Oficiales Fase de Gr'!$D$27,'Pollas Fase de Grupos'!AO4,'Resultados Oficiales Fase de Gr'!$E$27,AL4,'Resultados Oficiales Fase de Gr'!$G$27)</f>
        <v>3</v>
      </c>
      <c r="AN4" s="85" t="str">
        <f>IF('Pollas Fase de Grupos'!AP4&gt;'Pollas Fase de Grupos'!AQ4,'Pollas Fase de Grupos'!$AP$2,IF('Pollas Fase de Grupos'!AQ4&gt;'Pollas Fase de Grupos'!AP4,'Pollas Fase de Grupos'!$AQ$2,"EMPATE"))</f>
        <v>Dinamarca</v>
      </c>
      <c r="AO4" s="85">
        <f>PUNTAJE_GANADORES('Pollas Fase de Grupos'!AP4,'Resultados Oficiales Fase de Gr'!$D$28,'Pollas Fase de Grupos'!AQ4,'Resultados Oficiales Fase de Gr'!$E$28,AN4,'Resultados Oficiales Fase de Gr'!$G$28)</f>
        <v>1</v>
      </c>
      <c r="AP4" s="85" t="str">
        <f>IF('Pollas Fase de Grupos'!AR4&gt;'Pollas Fase de Grupos'!AS4,'Pollas Fase de Grupos'!$AR$2,IF('Pollas Fase de Grupos'!AS4&gt;'Pollas Fase de Grupos'!AR4,'Pollas Fase de Grupos'!$AS$2,"EMPATE"))</f>
        <v>EMPATE</v>
      </c>
      <c r="AQ4" s="85">
        <f>PUNTAJE_GANADORES('Pollas Fase de Grupos'!AR4,'Resultados Oficiales Fase de Gr'!$D$29,'Pollas Fase de Grupos'!AS4,'Resultados Oficiales Fase de Gr'!$E$29,AP4,'Resultados Oficiales Fase de Gr'!$G$29)</f>
        <v>1</v>
      </c>
      <c r="AR4" s="85" t="str">
        <f>IF('Pollas Fase de Grupos'!AT4&gt;'Pollas Fase de Grupos'!AU4,'Pollas Fase de Grupos'!$AT$2,IF('Pollas Fase de Grupos'!AU4&gt;'Pollas Fase de Grupos'!AT4,'Pollas Fase de Grupos'!$AU$2,"EMPATE"))</f>
        <v>EMPATE</v>
      </c>
      <c r="AS4" s="85">
        <f>PUNTAJE_GANADORES('Pollas Fase de Grupos'!AT4,'Resultados Oficiales Fase de Gr'!$D$30,'Pollas Fase de Grupos'!AU4,'Resultados Oficiales Fase de Gr'!$E$30,AR4,'Resultados Oficiales Fase de Gr'!$G$30)</f>
        <v>1</v>
      </c>
      <c r="AT4" s="85" t="str">
        <f>IF('Pollas Fase de Grupos'!AV4&gt;'Pollas Fase de Grupos'!AW4,'Pollas Fase de Grupos'!$AV$2,IF('Pollas Fase de Grupos'!AW4&gt;'Pollas Fase de Grupos'!AV4,'Pollas Fase de Grupos'!$AW$2,"EMPATE"))</f>
        <v>Francia</v>
      </c>
      <c r="AU4" s="85">
        <f>PUNTAJE_GANADORES('Pollas Fase de Grupos'!AV4,'Resultados Oficiales Fase de Gr'!$D$31,'Pollas Fase de Grupos'!AW4,'Resultados Oficiales Fase de Gr'!$E$31,AT4,'Resultados Oficiales Fase de Gr'!$G$31)</f>
        <v>0</v>
      </c>
      <c r="AV4" s="85" t="str">
        <f>IF('Pollas Fase de Grupos'!AX4&gt;'Pollas Fase de Grupos'!AY4,'Pollas Fase de Grupos'!$AX$2,IF('Pollas Fase de Grupos'!AY4&gt;'Pollas Fase de Grupos'!AX4,'Pollas Fase de Grupos'!$AY$2,"EMPATE"))</f>
        <v>Dinamarca</v>
      </c>
      <c r="AW4" s="85">
        <f>PUNTAJE_GANADORES('Pollas Fase de Grupos'!AX4,'Resultados Oficiales Fase de Gr'!$D$32,'Pollas Fase de Grupos'!AY4,'Resultados Oficiales Fase de Gr'!$E$32,AV4,'Resultados Oficiales Fase de Gr'!$G$32)</f>
        <v>1</v>
      </c>
      <c r="AX4" s="85" t="str">
        <f>IF('Pollas Fase de Grupos'!AZ4&gt;'Pollas Fase de Grupos'!BA4,'Pollas Fase de Grupos'!$AZ$2,IF('Pollas Fase de Grupos'!BA4&gt;'Pollas Fase de Grupos'!AZ4,'Pollas Fase de Grupos'!$BA$2,"EMPATE"))</f>
        <v>España</v>
      </c>
      <c r="AY4" s="85">
        <f>PUNTAJE_GANADORES('Pollas Fase de Grupos'!AZ4,'Resultados Oficiales Fase de Gr'!$D$35,'Pollas Fase de Grupos'!BA4,'Resultados Oficiales Fase de Gr'!$E$35,AX4,'Resultados Oficiales Fase de Gr'!$G$35)</f>
        <v>0</v>
      </c>
      <c r="AZ4" s="85" t="str">
        <f>IF('Pollas Fase de Grupos'!BB4&gt;'Pollas Fase de Grupos'!BC4,'Pollas Fase de Grupos'!$BB$2,IF('Pollas Fase de Grupos'!BC4&gt;'Pollas Fase de Grupos'!BB4,'Pollas Fase de Grupos'!$BC$2,"EMPATE"))</f>
        <v>Alemania</v>
      </c>
      <c r="BA4" s="85">
        <f>PUNTAJE_GANADORES('Pollas Fase de Grupos'!BB4,'Resultados Oficiales Fase de Gr'!$D$36,'Pollas Fase de Grupos'!BC4,'Resultados Oficiales Fase de Gr'!$E$36,AZ4,'Resultados Oficiales Fase de Gr'!$G$36)</f>
        <v>0</v>
      </c>
      <c r="BB4" s="85" t="str">
        <f>IF('Pollas Fase de Grupos'!BD4&gt;'Pollas Fase de Grupos'!BE4,'Pollas Fase de Grupos'!$BD$2,IF('Pollas Fase de Grupos'!BE4&gt;'Pollas Fase de Grupos'!BD4,'Pollas Fase de Grupos'!$BE$2,"EMPATE"))</f>
        <v>Alemania</v>
      </c>
      <c r="BC4" s="85">
        <f>PUNTAJE_GANADORES('Pollas Fase de Grupos'!BD4,'Resultados Oficiales Fase de Gr'!$D$37,'Pollas Fase de Grupos'!BE4,'Resultados Oficiales Fase de Gr'!$E$37,BB4,'Resultados Oficiales Fase de Gr'!$G$37)</f>
        <v>1</v>
      </c>
      <c r="BD4" s="85" t="str">
        <f>IF('Pollas Fase de Grupos'!BF4&gt;'Pollas Fase de Grupos'!BG4,'Pollas Fase de Grupos'!$BF$2,IF('Pollas Fase de Grupos'!BG4&gt;'Pollas Fase de Grupos'!BF4,'Pollas Fase de Grupos'!$BG$2,"EMPATE"))</f>
        <v>Costa Rica</v>
      </c>
      <c r="BE4" s="85">
        <f>PUNTAJE_GANADORES('Pollas Fase de Grupos'!BF4,'Resultados Oficiales Fase de Gr'!$D$38,'Pollas Fase de Grupos'!BG4,'Resultados Oficiales Fase de Gr'!$E$38,BD4,'Resultados Oficiales Fase de Gr'!$G$38)</f>
        <v>2</v>
      </c>
      <c r="BF4" s="85" t="str">
        <f>IF('Pollas Fase de Grupos'!BH4&gt;'Pollas Fase de Grupos'!BI4,'Pollas Fase de Grupos'!$BH$2,IF('Pollas Fase de Grupos'!BI4&gt;'Pollas Fase de Grupos'!BH4,'Pollas Fase de Grupos'!$BI$2,"EMPATE"))</f>
        <v>España</v>
      </c>
      <c r="BG4" s="85">
        <f>PUNTAJE_GANADORES('Pollas Fase de Grupos'!BH4,'Resultados Oficiales Fase de Gr'!$D$39,'Pollas Fase de Grupos'!BI4,'Resultados Oficiales Fase de Gr'!$E$39,BF4,'Resultados Oficiales Fase de Gr'!$G$39)</f>
        <v>0</v>
      </c>
      <c r="BH4" s="85" t="str">
        <f>IF('Pollas Fase de Grupos'!BJ4&gt;'Pollas Fase de Grupos'!BK4,'Pollas Fase de Grupos'!$BJ$2,IF('Pollas Fase de Grupos'!BK4&gt;'Pollas Fase de Grupos'!BJ4,'Pollas Fase de Grupos'!$BK$2,"EMPATE"))</f>
        <v>EMPATE</v>
      </c>
      <c r="BI4" s="85">
        <f>PUNTAJE_GANADORES('Pollas Fase de Grupos'!BJ4,'Resultados Oficiales Fase de Gr'!$D$40,'Pollas Fase de Grupos'!BK4,'Resultados Oficiales Fase de Gr'!$E$40,BH4,'Resultados Oficiales Fase de Gr'!$G$40)</f>
        <v>0</v>
      </c>
      <c r="BJ4" s="85" t="str">
        <f>IF('Pollas Fase de Grupos'!BL4&gt;'Pollas Fase de Grupos'!BM4,'Pollas Fase de Grupos'!$BL$2,IF('Pollas Fase de Grupos'!BM4&gt;'Pollas Fase de Grupos'!BL4,'Pollas Fase de Grupos'!$BM$2,"EMPATE"))</f>
        <v>Belgica</v>
      </c>
      <c r="BK4" s="85">
        <f>PUNTAJE_GANADORES('Pollas Fase de Grupos'!BL4,'Resultados Oficiales Fase de Gr'!$D$43,'Pollas Fase de Grupos'!BM4,'Resultados Oficiales Fase de Gr'!$E$43,BJ4,'Resultados Oficiales Fase de Gr'!$G$43)</f>
        <v>3</v>
      </c>
      <c r="BL4" s="85" t="str">
        <f>IF('Pollas Fase de Grupos'!BN4&gt;'Pollas Fase de Grupos'!BO4,'Pollas Fase de Grupos'!$BN$2,IF('Pollas Fase de Grupos'!BO4&gt;'Pollas Fase de Grupos'!BN4,'Pollas Fase de Grupos'!$BO$2,"EMPATE"))</f>
        <v>Croacia</v>
      </c>
      <c r="BM4" s="85">
        <f>PUNTAJE_GANADORES('Pollas Fase de Grupos'!BN4,'Resultados Oficiales Fase de Gr'!$D$44,'Pollas Fase de Grupos'!BO4,'Resultados Oficiales Fase de Gr'!$E$44,BL4,'Resultados Oficiales Fase de Gr'!$G$44)</f>
        <v>1</v>
      </c>
      <c r="BN4" s="85" t="str">
        <f>IF('Pollas Fase de Grupos'!BP4&gt;'Pollas Fase de Grupos'!BQ4,'Pollas Fase de Grupos'!$BP$2,IF('Pollas Fase de Grupos'!BQ4&gt;'Pollas Fase de Grupos'!BP4,'Pollas Fase de Grupos'!$BQ$2,"EMPATE"))</f>
        <v>Belgica</v>
      </c>
      <c r="BO4" s="85">
        <f>PUNTAJE_GANADORES('Pollas Fase de Grupos'!BP4,'Resultados Oficiales Fase de Gr'!$D$45,'Pollas Fase de Grupos'!BQ4,'Resultados Oficiales Fase de Gr'!$E$45,BN4,'Resultados Oficiales Fase de Gr'!$G$45)</f>
        <v>0</v>
      </c>
      <c r="BP4" s="85" t="str">
        <f>IF('Pollas Fase de Grupos'!BR4&gt;'Pollas Fase de Grupos'!BS4,'Pollas Fase de Grupos'!$BR$2,IF('Pollas Fase de Grupos'!BS4&gt;'Pollas Fase de Grupos'!BR4,'Pollas Fase de Grupos'!$BS$2,"EMPATE"))</f>
        <v>Croacia</v>
      </c>
      <c r="BQ4" s="85">
        <f>PUNTAJE_GANADORES('Pollas Fase de Grupos'!BR4,'Resultados Oficiales Fase de Gr'!$D$46,'Pollas Fase de Grupos'!BS4,'Resultados Oficiales Fase de Gr'!$E$46,BP4,'Resultados Oficiales Fase de Gr'!$G$46)</f>
        <v>2</v>
      </c>
      <c r="BR4" s="85" t="str">
        <f>IF('Pollas Fase de Grupos'!BT4&gt;'Pollas Fase de Grupos'!BU4,'Pollas Fase de Grupos'!$BT$2,IF('Pollas Fase de Grupos'!BU4&gt;'Pollas Fase de Grupos'!BT4,'Pollas Fase de Grupos'!$BU$2,"EMPATE"))</f>
        <v>EMPATE</v>
      </c>
      <c r="BS4" s="85">
        <f>PUNTAJE_GANADORES('Pollas Fase de Grupos'!BT4,'Resultados Oficiales Fase de Gr'!$D$47,'Pollas Fase de Grupos'!BU4,'Resultados Oficiales Fase de Gr'!$E$47,BR4,'Resultados Oficiales Fase de Gr'!$G$47)</f>
        <v>1</v>
      </c>
      <c r="BT4" s="85" t="str">
        <f>IF('Pollas Fase de Grupos'!BV4&gt;'Pollas Fase de Grupos'!BW4,'Pollas Fase de Grupos'!$BV$2,IF('Pollas Fase de Grupos'!BW4&gt;'Pollas Fase de Grupos'!BV4,'Pollas Fase de Grupos'!$BW$2,"EMPATE"))</f>
        <v>EMPATE</v>
      </c>
      <c r="BU4" s="85">
        <f>PUNTAJE_GANADORES('Pollas Fase de Grupos'!BV4,'Resultados Oficiales Fase de Gr'!$D$48,'Pollas Fase de Grupos'!BW4,'Resultados Oficiales Fase de Gr'!$E$48,BT4,'Resultados Oficiales Fase de Gr'!$G$48)</f>
        <v>0</v>
      </c>
      <c r="BV4" s="85" t="str">
        <f>IF('Pollas Fase de Grupos'!BX4&gt;'Pollas Fase de Grupos'!BY4,'Pollas Fase de Grupos'!$BX$2,IF('Pollas Fase de Grupos'!BY4&gt;'Pollas Fase de Grupos'!BX4,'Pollas Fase de Grupos'!$BY$2,"EMPATE"))</f>
        <v>Brasil</v>
      </c>
      <c r="BW4" s="85">
        <f>PUNTAJE_GANADORES('Pollas Fase de Grupos'!BX4,'Resultados Oficiales Fase de Gr'!$D$51,'Pollas Fase de Grupos'!BY4,'Resultados Oficiales Fase de Gr'!$E$51,BV4,'Resultados Oficiales Fase de Gr'!$G$51)</f>
        <v>2</v>
      </c>
      <c r="BX4" s="85" t="str">
        <f>IF('Pollas Fase de Grupos'!BZ4&gt;'Pollas Fase de Grupos'!CA4,'Pollas Fase de Grupos'!$BZ$2,IF('Pollas Fase de Grupos'!CA4&gt;'Pollas Fase de Grupos'!BZ4,'Pollas Fase de Grupos'!$CA$2,"EMPATE"))</f>
        <v>EMPATE</v>
      </c>
      <c r="BY4" s="85">
        <f>PUNTAJE_GANADORES('Pollas Fase de Grupos'!BZ4,'Resultados Oficiales Fase de Gr'!$D$52,'Pollas Fase de Grupos'!CA4,'Resultados Oficiales Fase de Gr'!$E$52,BX4,'Resultados Oficiales Fase de Gr'!$G$52)</f>
        <v>1</v>
      </c>
      <c r="BZ4" s="85" t="str">
        <f>IF('Pollas Fase de Grupos'!CB4&gt;'Pollas Fase de Grupos'!CC4,'Pollas Fase de Grupos'!$CB$2,IF('Pollas Fase de Grupos'!CC4&gt;'Pollas Fase de Grupos'!CB4,'Pollas Fase de Grupos'!$CC$2,"EMPATE"))</f>
        <v>Brasil</v>
      </c>
      <c r="CA4" s="85">
        <f>PUNTAJE_GANADORES('Pollas Fase de Grupos'!CB4,'Resultados Oficiales Fase de Gr'!$D$53,'Pollas Fase de Grupos'!CC4,'Resultados Oficiales Fase de Gr'!$E$53,BZ4,'Resultados Oficiales Fase de Gr'!$G$53)</f>
        <v>2</v>
      </c>
      <c r="CB4" s="85" t="str">
        <f>IF('Pollas Fase de Grupos'!CD4&gt;'Pollas Fase de Grupos'!CE4,'Pollas Fase de Grupos'!$CD$2,IF('Pollas Fase de Grupos'!CE4&gt;'Pollas Fase de Grupos'!CD4,'Pollas Fase de Grupos'!$CE$2,"EMPATE"))</f>
        <v>EMPATE</v>
      </c>
      <c r="CC4" s="85">
        <f>PUNTAJE_GANADORES('Pollas Fase de Grupos'!CD4,'Resultados Oficiales Fase de Gr'!$D$54,'Pollas Fase de Grupos'!CE4,'Resultados Oficiales Fase de Gr'!$E$54,CB4,'Resultados Oficiales Fase de Gr'!$G$54)</f>
        <v>1</v>
      </c>
      <c r="CD4" s="85" t="str">
        <f>IF('Pollas Fase de Grupos'!CF4&gt;'Pollas Fase de Grupos'!CG4,'Pollas Fase de Grupos'!$CF$2,IF('Pollas Fase de Grupos'!CG4&gt;'Pollas Fase de Grupos'!CF4,'Pollas Fase de Grupos'!$CG$2,"EMPATE"))</f>
        <v>EMPATE</v>
      </c>
      <c r="CE4" s="85">
        <f>PUNTAJE_GANADORES('Pollas Fase de Grupos'!CF4,'Resultados Oficiales Fase de Gr'!$D$55,'Pollas Fase de Grupos'!CG4,'Resultados Oficiales Fase de Gr'!$E$55,CD4,'Resultados Oficiales Fase de Gr'!$G$55)</f>
        <v>0</v>
      </c>
      <c r="CF4" s="85" t="str">
        <f>IF('Pollas Fase de Grupos'!CH4&gt;'Pollas Fase de Grupos'!CI4,'Pollas Fase de Grupos'!$CH$2,IF('Pollas Fase de Grupos'!CI4&gt;'Pollas Fase de Grupos'!CH4,'Pollas Fase de Grupos'!$CI$2,"EMPATE"))</f>
        <v>Suiza</v>
      </c>
      <c r="CG4" s="85">
        <f>PUNTAJE_GANADORES('Pollas Fase de Grupos'!CH4,'Resultados Oficiales Fase de Gr'!$D$56,'Pollas Fase de Grupos'!CI4,'Resultados Oficiales Fase de Gr'!$E$56,CF4,'Resultados Oficiales Fase de Gr'!$G$56)</f>
        <v>2</v>
      </c>
      <c r="CH4" s="85" t="str">
        <f>IF('Pollas Fase de Grupos'!CJ4&gt;'Pollas Fase de Grupos'!CK4,'Pollas Fase de Grupos'!$CJ$2,IF('Pollas Fase de Grupos'!CK4&gt;'Pollas Fase de Grupos'!CJ4,'Pollas Fase de Grupos'!$CK$2,"EMPATE"))</f>
        <v>Portugal</v>
      </c>
      <c r="CI4" s="85">
        <f>PUNTAJE_GANADORES('Pollas Fase de Grupos'!CJ4,'Resultados Oficiales Fase de Gr'!$D$59,'Pollas Fase de Grupos'!CK4,'Resultados Oficiales Fase de Gr'!$E$59,CH4,'Resultados Oficiales Fase de Gr'!$G$59)</f>
        <v>2</v>
      </c>
      <c r="CJ4" s="85" t="str">
        <f>IF('Pollas Fase de Grupos'!CL4&gt;'Pollas Fase de Grupos'!CM4,'Pollas Fase de Grupos'!$CL$2,IF('Pollas Fase de Grupos'!CM4&gt;'Pollas Fase de Grupos'!CL4,'Pollas Fase de Grupos'!$CM$2,"EMPATE"))</f>
        <v>EMPATE</v>
      </c>
      <c r="CK4" s="85">
        <f>PUNTAJE_GANADORES('Pollas Fase de Grupos'!CL4,'Resultados Oficiales Fase de Gr'!$D$60,'Pollas Fase de Grupos'!CM4,'Resultados Oficiales Fase de Gr'!$E$60,CJ4,'Resultados Oficiales Fase de Gr'!$G$60)</f>
        <v>5</v>
      </c>
      <c r="CL4" s="85" t="str">
        <f>IF('Pollas Fase de Grupos'!CN4&gt;'Pollas Fase de Grupos'!CO4,'Pollas Fase de Grupos'!$CN$2,IF('Pollas Fase de Grupos'!CO4&gt;'Pollas Fase de Grupos'!CN4,'Pollas Fase de Grupos'!$CO$2,"EMPATE"))</f>
        <v>EMPATE</v>
      </c>
      <c r="CM4" s="85">
        <f>PUNTAJE_GANADORES('Pollas Fase de Grupos'!CN4,'Resultados Oficiales Fase de Gr'!$D$61,'Pollas Fase de Grupos'!CO4,'Resultados Oficiales Fase de Gr'!$E$61,CL4,'Resultados Oficiales Fase de Gr'!$G$61)</f>
        <v>1</v>
      </c>
      <c r="CN4" s="85" t="str">
        <f>IF('Pollas Fase de Grupos'!CP4&gt;'Pollas Fase de Grupos'!CQ4,'Pollas Fase de Grupos'!$CP$2,IF('Pollas Fase de Grupos'!CQ4&gt;'Pollas Fase de Grupos'!CP4,'Pollas Fase de Grupos'!$CQ$2,"EMPATE"))</f>
        <v>Ghana</v>
      </c>
      <c r="CO4" s="85">
        <f>PUNTAJE_GANADORES('Pollas Fase de Grupos'!CP4,'Resultados Oficiales Fase de Gr'!$D$62,'Pollas Fase de Grupos'!CQ4,'Resultados Oficiales Fase de Gr'!$E$62,CN4,'Resultados Oficiales Fase de Gr'!$G$62)</f>
        <v>2</v>
      </c>
      <c r="CP4" s="85" t="str">
        <f>IF('Pollas Fase de Grupos'!CR4&gt;'Pollas Fase de Grupos'!CS4,'Pollas Fase de Grupos'!$CR$2,IF('Pollas Fase de Grupos'!CS4&gt;'Pollas Fase de Grupos'!CR4,'Pollas Fase de Grupos'!$CS$2,"EMPATE"))</f>
        <v>Portugal</v>
      </c>
      <c r="CQ4" s="85">
        <f>PUNTAJE_GANADORES('Pollas Fase de Grupos'!CR4,'Resultados Oficiales Fase de Gr'!$D$63,'Pollas Fase de Grupos'!CS4,'Resultados Oficiales Fase de Gr'!$E$63,CP4,'Resultados Oficiales Fase de Gr'!$G$63)</f>
        <v>0</v>
      </c>
      <c r="CR4" s="85" t="str">
        <f>IF('Pollas Fase de Grupos'!CT4&gt;'Pollas Fase de Grupos'!CU4,'Pollas Fase de Grupos'!$CT$2,IF('Pollas Fase de Grupos'!CU4&gt;'Pollas Fase de Grupos'!CT4,'Pollas Fase de Grupos'!$CU$2,"EMPATE"))</f>
        <v>Uruguay</v>
      </c>
      <c r="CS4" s="85">
        <f>PUNTAJE_GANADORES('Pollas Fase de Grupos'!CT4,'Resultados Oficiales Fase de Gr'!$D$64,'Pollas Fase de Grupos'!CU4,'Resultados Oficiales Fase de Gr'!$E$64,CR4,'Resultados Oficiales Fase de Gr'!$G$64)</f>
        <v>2</v>
      </c>
      <c r="CT4" s="4">
        <f t="shared" si="1"/>
        <v>55</v>
      </c>
      <c r="CU4" s="17">
        <v>49.0</v>
      </c>
      <c r="CV4" s="3">
        <f t="shared" si="2"/>
        <v>58</v>
      </c>
    </row>
    <row r="5">
      <c r="A5" s="3" t="str">
        <f>'Pollas Fase de Grupos'!CV5</f>
        <v>Pascual</v>
      </c>
      <c r="B5" s="4" t="str">
        <f>IF('Pollas Fase de Grupos'!D5&gt;'Pollas Fase de Grupos'!E5,'Pollas Fase de Grupos'!$D$2,IF('Pollas Fase de Grupos'!E5&gt;'Pollas Fase de Grupos'!D5,'Pollas Fase de Grupos'!$E$2,"EMPATE"))</f>
        <v>EMPATE</v>
      </c>
      <c r="C5" s="4">
        <f>PUNTAJE_GANADORES('Pollas Fase de Grupos'!D5,'Resultados Oficiales Fase de Gr'!$D$3,'Pollas Fase de Grupos'!E5,'Resultados Oficiales Fase de Gr'!$E$3,B5,'Resultados Oficiales Fase de Gr'!$G$3)</f>
        <v>0</v>
      </c>
      <c r="D5" s="85" t="str">
        <f>IF('Pollas Fase de Grupos'!F5&gt;'Pollas Fase de Grupos'!G5,'Pollas Fase de Grupos'!$F$2,IF('Pollas Fase de Grupos'!G5&gt;'Pollas Fase de Grupos'!F5,'Pollas Fase de Grupos'!$G$2,"EMPATE"))</f>
        <v>Paises Bajos</v>
      </c>
      <c r="E5" s="4">
        <f>PUNTAJE_GANADORES('Pollas Fase de Grupos'!F5,'Resultados Oficiales Fase de Gr'!$D$4,'Pollas Fase de Grupos'!G5,'Resultados Oficiales Fase de Gr'!$E$4,D5,'Resultados Oficiales Fase de Gr'!$G$4)</f>
        <v>5</v>
      </c>
      <c r="F5" s="85" t="str">
        <f>IF('Pollas Fase de Grupos'!H5&gt;'Pollas Fase de Grupos'!I5,'Pollas Fase de Grupos'!$H$2,IF('Pollas Fase de Grupos'!I5&gt;'Pollas Fase de Grupos'!H5,'Pollas Fase de Grupos'!$I$2,"EMPATE"))</f>
        <v>Senegal</v>
      </c>
      <c r="G5" s="4">
        <f>PUNTAJE_GANADORES('Pollas Fase de Grupos'!H5,'Resultados Oficiales Fase de Gr'!$D$5,'Pollas Fase de Grupos'!I5,'Resultados Oficiales Fase de Gr'!$E$5,F5,'Resultados Oficiales Fase de Gr'!$G$5)</f>
        <v>3</v>
      </c>
      <c r="H5" s="85" t="str">
        <f>IF('Pollas Fase de Grupos'!J5&gt;'Pollas Fase de Grupos'!K5,'Pollas Fase de Grupos'!$J$2,IF('Pollas Fase de Grupos'!K5&gt;'Pollas Fase de Grupos'!J5,'Pollas Fase de Grupos'!$K$2,"EMPATE"))</f>
        <v>Paises Bajos</v>
      </c>
      <c r="I5" s="4">
        <f>PUNTAJE_GANADORES('Pollas Fase de Grupos'!J5,'Resultados Oficiales Fase de Gr'!$D$6,'Pollas Fase de Grupos'!K5,'Resultados Oficiales Fase de Gr'!$E$6,H5,'Resultados Oficiales Fase de Gr'!$G$6)</f>
        <v>0</v>
      </c>
      <c r="J5" s="85" t="str">
        <f>IF('Pollas Fase de Grupos'!L5&gt;'Pollas Fase de Grupos'!M5,'Pollas Fase de Grupos'!$L$2,IF('Pollas Fase de Grupos'!M5&gt;'Pollas Fase de Grupos'!L5,'Pollas Fase de Grupos'!$M$2,"EMPATE"))</f>
        <v>Paises Bajos</v>
      </c>
      <c r="K5" s="4">
        <f>PUNTAJE_GANADORES('Pollas Fase de Grupos'!L5,'Resultados Oficiales Fase de Gr'!$D$7,'Pollas Fase de Grupos'!M5,'Resultados Oficiales Fase de Gr'!$E$7,J5,'Resultados Oficiales Fase de Gr'!$G$7)</f>
        <v>2</v>
      </c>
      <c r="L5" s="85" t="str">
        <f>IF('Pollas Fase de Grupos'!N5&gt;'Pollas Fase de Grupos'!O5,'Pollas Fase de Grupos'!$N$2,IF('Pollas Fase de Grupos'!O5&gt;'Pollas Fase de Grupos'!N5,'Pollas Fase de Grupos'!$O$2,"EMPATE"))</f>
        <v>EMPATE</v>
      </c>
      <c r="M5" s="85">
        <f>PUNTAJE_GANADORES('Pollas Fase de Grupos'!N5,'Resultados Oficiales Fase de Gr'!$D$8,'Pollas Fase de Grupos'!O5,'Resultados Oficiales Fase de Gr'!$E$8,L5,'Resultados Oficiales Fase de Gr'!$G$8)</f>
        <v>1</v>
      </c>
      <c r="N5" s="85" t="str">
        <f>IF('Pollas Fase de Grupos'!P5&gt;'Pollas Fase de Grupos'!Q5,'Pollas Fase de Grupos'!$P$2,IF('Pollas Fase de Grupos'!Q5&gt;'Pollas Fase de Grupos'!P5,'Pollas Fase de Grupos'!$Q$2,"EMPATE"))</f>
        <v>Inglaterra</v>
      </c>
      <c r="O5" s="85">
        <f>PUNTAJE_GANADORES('Pollas Fase de Grupos'!P5,'Resultados Oficiales Fase de Gr'!$D$11,'Pollas Fase de Grupos'!Q5,'Resultados Oficiales Fase de Gr'!$E$11,N5,'Resultados Oficiales Fase de Gr'!$G$11)</f>
        <v>2</v>
      </c>
      <c r="P5" s="4" t="str">
        <f>IF('Pollas Fase de Grupos'!R5&gt;'Pollas Fase de Grupos'!S5,'Pollas Fase de Grupos'!$R$2,IF('Pollas Fase de Grupos'!S5&gt;'Pollas Fase de Grupos'!R5,'Pollas Fase de Grupos'!$S$2,"EMPATE"))</f>
        <v>Estados Unidos</v>
      </c>
      <c r="Q5" s="85">
        <f>PUNTAJE_GANADORES('Pollas Fase de Grupos'!R5,'Resultados Oficiales Fase de Gr'!$D$12,'Pollas Fase de Grupos'!S5,'Resultados Oficiales Fase de Gr'!$E$12,P5,'Resultados Oficiales Fase de Gr'!$G$12)</f>
        <v>0</v>
      </c>
      <c r="R5" s="85" t="str">
        <f>IF('Pollas Fase de Grupos'!T5&gt;'Pollas Fase de Grupos'!U5,'Pollas Fase de Grupos'!$T$2,IF('Pollas Fase de Grupos'!U5&gt;'Pollas Fase de Grupos'!T5,'Pollas Fase de Grupos'!$U$2,"EMPATE"))</f>
        <v>Inglaterra</v>
      </c>
      <c r="S5" s="4">
        <f>PUNTAJE_GANADORES('Pollas Fase de Grupos'!T5,'Resultados Oficiales Fase de Gr'!$D$13,'Pollas Fase de Grupos'!U5,'Resultados Oficiales Fase de Gr'!$E$13,R5,'Resultados Oficiales Fase de Gr'!$G$13)</f>
        <v>1</v>
      </c>
      <c r="T5" s="85" t="str">
        <f>IF('Pollas Fase de Grupos'!V5&gt;'Pollas Fase de Grupos'!W5,'Pollas Fase de Grupos'!$V$2,IF('Pollas Fase de Grupos'!W5&gt;'Pollas Fase de Grupos'!V5,'Pollas Fase de Grupos'!$W$2,"EMPATE"))</f>
        <v>EMPATE</v>
      </c>
      <c r="U5" s="86">
        <f>PUNTAJE_GANADORES('Pollas Fase de Grupos'!V5,'Resultados Oficiales Fase de Gr'!$D$14,'Pollas Fase de Grupos'!W5,'Resultados Oficiales Fase de Gr'!$E$14,T5,'Resultados Oficiales Fase de Gr'!$G$14)</f>
        <v>1</v>
      </c>
      <c r="V5" s="85" t="str">
        <f>IF('Pollas Fase de Grupos'!X5&gt;'Pollas Fase de Grupos'!Y5,'Pollas Fase de Grupos'!$X$2,IF('Pollas Fase de Grupos'!Y5&gt;'Pollas Fase de Grupos'!X5,'Pollas Fase de Grupos'!$Y$2,"EMPATE"))</f>
        <v>Inglaterra</v>
      </c>
      <c r="W5" s="85">
        <f>PUNTAJE_GANADORES('Pollas Fase de Grupos'!X5,'Resultados Oficiales Fase de Gr'!$D$15,'Pollas Fase de Grupos'!Y5,'Resultados Oficiales Fase de Gr'!$E$15,V5,'Resultados Oficiales Fase de Gr'!$G$15)</f>
        <v>2</v>
      </c>
      <c r="X5" s="85" t="str">
        <f>IF('Pollas Fase de Grupos'!Z5&gt;'Pollas Fase de Grupos'!AA5,'Pollas Fase de Grupos'!$Z$2,IF('Pollas Fase de Grupos'!AA5&gt;'Pollas Fase de Grupos'!Z5,'Pollas Fase de Grupos'!$AA$2,"EMPATE"))</f>
        <v>Estados Unidos</v>
      </c>
      <c r="Y5" s="87">
        <f>PUNTAJE_GANADORES('Pollas Fase de Grupos'!Z5,'Resultados Oficiales Fase de Gr'!$D$16,'Pollas Fase de Grupos'!AA5,'Resultados Oficiales Fase de Gr'!$E$16,X5,'Resultados Oficiales Fase de Gr'!$G$16)</f>
        <v>5</v>
      </c>
      <c r="Z5" s="85" t="str">
        <f>IF('Pollas Fase de Grupos'!AB5&gt;'Pollas Fase de Grupos'!AC5,'Pollas Fase de Grupos'!$AB$2,IF('Pollas Fase de Grupos'!AC5&gt;'Pollas Fase de Grupos'!AB5,'Pollas Fase de Grupos'!$AC$2,"EMPATE"))</f>
        <v>Argentina</v>
      </c>
      <c r="AA5" s="85">
        <f>PUNTAJE_GANADORES('Pollas Fase de Grupos'!AB5,'Resultados Oficiales Fase de Gr'!$D$19,'Pollas Fase de Grupos'!AC5,'Resultados Oficiales Fase de Gr'!$E$19,Z5,'Resultados Oficiales Fase de Gr'!$G$19)</f>
        <v>0</v>
      </c>
      <c r="AB5" s="85" t="str">
        <f>IF('Pollas Fase de Grupos'!AD5&gt;'Pollas Fase de Grupos'!AE5,'Pollas Fase de Grupos'!$AD$2,IF('Pollas Fase de Grupos'!AE5&gt;'Pollas Fase de Grupos'!AD5,'Pollas Fase de Grupos'!$AE$2,"EMPATE"))</f>
        <v>EMPATE</v>
      </c>
      <c r="AC5" s="85">
        <f>PUNTAJE_GANADORES('Pollas Fase de Grupos'!AD5,'Resultados Oficiales Fase de Gr'!$D$20,'Pollas Fase de Grupos'!AE5,'Resultados Oficiales Fase de Gr'!$E$20,AB5,'Resultados Oficiales Fase de Gr'!$G$20)</f>
        <v>1</v>
      </c>
      <c r="AD5" s="85" t="str">
        <f>IF('Pollas Fase de Grupos'!AF5&gt;'Pollas Fase de Grupos'!AG5,'Pollas Fase de Grupos'!$AF$2,IF('Pollas Fase de Grupos'!AG5&gt;'Pollas Fase de Grupos'!AF5,'Pollas Fase de Grupos'!$AG$2,"EMPATE"))</f>
        <v>Argentina</v>
      </c>
      <c r="AE5" s="85">
        <f>PUNTAJE_GANADORES('Pollas Fase de Grupos'!AF5,'Resultados Oficiales Fase de Gr'!$D$21,'Pollas Fase de Grupos'!AG5,'Resultados Oficiales Fase de Gr'!$E$21,AD5,'Resultados Oficiales Fase de Gr'!$G$21)</f>
        <v>5</v>
      </c>
      <c r="AF5" s="85" t="str">
        <f>IF('Pollas Fase de Grupos'!AH5&gt;'Pollas Fase de Grupos'!AI5,'Pollas Fase de Grupos'!$AH$2,IF('Pollas Fase de Grupos'!AI5&gt;'Pollas Fase de Grupos'!AH5,'Pollas Fase de Grupos'!$AI$2,"EMPATE"))</f>
        <v>Polonia</v>
      </c>
      <c r="AG5" s="85">
        <f>PUNTAJE_GANADORES('Pollas Fase de Grupos'!AH5,'Resultados Oficiales Fase de Gr'!$D$22,'Pollas Fase de Grupos'!AI5,'Resultados Oficiales Fase de Gr'!$E$22,AF5,'Resultados Oficiales Fase de Gr'!$G$22)</f>
        <v>3</v>
      </c>
      <c r="AH5" s="85" t="str">
        <f>IF('Pollas Fase de Grupos'!AJ5&gt;'Pollas Fase de Grupos'!AK5,'Pollas Fase de Grupos'!$AJ$2,IF('Pollas Fase de Grupos'!AK5&gt;'Pollas Fase de Grupos'!AJ5,'Pollas Fase de Grupos'!$AK$2,"EMPATE"))</f>
        <v>Argentina</v>
      </c>
      <c r="AI5" s="85">
        <f>PUNTAJE_GANADORES('Pollas Fase de Grupos'!AJ5,'Resultados Oficiales Fase de Gr'!$D$23,'Pollas Fase de Grupos'!AK5,'Resultados Oficiales Fase de Gr'!$E$23,AH5,'Resultados Oficiales Fase de Gr'!$G$23)</f>
        <v>3</v>
      </c>
      <c r="AJ5" s="85" t="str">
        <f>IF('Pollas Fase de Grupos'!AL5&gt;'Pollas Fase de Grupos'!AM5,'Pollas Fase de Grupos'!$AL$2,IF('Pollas Fase de Grupos'!AM5&gt;'Pollas Fase de Grupos'!AL5,'Pollas Fase de Grupos'!$AM$2,"EMPATE"))</f>
        <v>Mexico</v>
      </c>
      <c r="AK5" s="85">
        <f>PUNTAJE_GANADORES('Pollas Fase de Grupos'!AL5,'Resultados Oficiales Fase de Gr'!$D$24,'Pollas Fase de Grupos'!AM5,'Resultados Oficiales Fase de Gr'!$E$24,AJ5,'Resultados Oficiales Fase de Gr'!$G$24)</f>
        <v>3</v>
      </c>
      <c r="AL5" s="85" t="str">
        <f>IF('Pollas Fase de Grupos'!AN5&gt;'Pollas Fase de Grupos'!AO5,'Pollas Fase de Grupos'!$AN$2,IF('Pollas Fase de Grupos'!AO5&gt;'Pollas Fase de Grupos'!AN5,'Pollas Fase de Grupos'!$AO$2,"EMPATE"))</f>
        <v>Francia</v>
      </c>
      <c r="AM5" s="85">
        <f>PUNTAJE_GANADORES('Pollas Fase de Grupos'!AN5,'Resultados Oficiales Fase de Gr'!$D$27,'Pollas Fase de Grupos'!AO5,'Resultados Oficiales Fase de Gr'!$E$27,AL5,'Resultados Oficiales Fase de Gr'!$G$27)</f>
        <v>2</v>
      </c>
      <c r="AN5" s="85" t="str">
        <f>IF('Pollas Fase de Grupos'!AP5&gt;'Pollas Fase de Grupos'!AQ5,'Pollas Fase de Grupos'!$AP$2,IF('Pollas Fase de Grupos'!AQ5&gt;'Pollas Fase de Grupos'!AP5,'Pollas Fase de Grupos'!$AQ$2,"EMPATE"))</f>
        <v>Dinamarca</v>
      </c>
      <c r="AO5" s="85">
        <f>PUNTAJE_GANADORES('Pollas Fase de Grupos'!AP5,'Resultados Oficiales Fase de Gr'!$D$28,'Pollas Fase de Grupos'!AQ5,'Resultados Oficiales Fase de Gr'!$E$28,AN5,'Resultados Oficiales Fase de Gr'!$G$28)</f>
        <v>1</v>
      </c>
      <c r="AP5" s="85" t="str">
        <f>IF('Pollas Fase de Grupos'!AR5&gt;'Pollas Fase de Grupos'!AS5,'Pollas Fase de Grupos'!$AR$2,IF('Pollas Fase de Grupos'!AS5&gt;'Pollas Fase de Grupos'!AR5,'Pollas Fase de Grupos'!$AS$2,"EMPATE"))</f>
        <v>EMPATE</v>
      </c>
      <c r="AQ5" s="85">
        <f>PUNTAJE_GANADORES('Pollas Fase de Grupos'!AR5,'Resultados Oficiales Fase de Gr'!$D$29,'Pollas Fase de Grupos'!AS5,'Resultados Oficiales Fase de Gr'!$E$29,AP5,'Resultados Oficiales Fase de Gr'!$G$29)</f>
        <v>1</v>
      </c>
      <c r="AR5" s="85" t="str">
        <f>IF('Pollas Fase de Grupos'!AT5&gt;'Pollas Fase de Grupos'!AU5,'Pollas Fase de Grupos'!$AT$2,IF('Pollas Fase de Grupos'!AU5&gt;'Pollas Fase de Grupos'!AT5,'Pollas Fase de Grupos'!$AU$2,"EMPATE"))</f>
        <v>Tunez</v>
      </c>
      <c r="AS5" s="85">
        <f>PUNTAJE_GANADORES('Pollas Fase de Grupos'!AT5,'Resultados Oficiales Fase de Gr'!$D$30,'Pollas Fase de Grupos'!AU5,'Resultados Oficiales Fase de Gr'!$E$30,AR5,'Resultados Oficiales Fase de Gr'!$G$30)</f>
        <v>1</v>
      </c>
      <c r="AT5" s="85" t="str">
        <f>IF('Pollas Fase de Grupos'!AV5&gt;'Pollas Fase de Grupos'!AW5,'Pollas Fase de Grupos'!$AV$2,IF('Pollas Fase de Grupos'!AW5&gt;'Pollas Fase de Grupos'!AV5,'Pollas Fase de Grupos'!$AW$2,"EMPATE"))</f>
        <v>Francia</v>
      </c>
      <c r="AU5" s="85">
        <f>PUNTAJE_GANADORES('Pollas Fase de Grupos'!AV5,'Resultados Oficiales Fase de Gr'!$D$31,'Pollas Fase de Grupos'!AW5,'Resultados Oficiales Fase de Gr'!$E$31,AT5,'Resultados Oficiales Fase de Gr'!$G$31)</f>
        <v>1</v>
      </c>
      <c r="AV5" s="85" t="str">
        <f>IF('Pollas Fase de Grupos'!AX5&gt;'Pollas Fase de Grupos'!AY5,'Pollas Fase de Grupos'!$AX$2,IF('Pollas Fase de Grupos'!AY5&gt;'Pollas Fase de Grupos'!AX5,'Pollas Fase de Grupos'!$AY$2,"EMPATE"))</f>
        <v>Dinamarca</v>
      </c>
      <c r="AW5" s="85">
        <f>PUNTAJE_GANADORES('Pollas Fase de Grupos'!AX5,'Resultados Oficiales Fase de Gr'!$D$32,'Pollas Fase de Grupos'!AY5,'Resultados Oficiales Fase de Gr'!$E$32,AV5,'Resultados Oficiales Fase de Gr'!$G$32)</f>
        <v>0</v>
      </c>
      <c r="AX5" s="85" t="str">
        <f>IF('Pollas Fase de Grupos'!AZ5&gt;'Pollas Fase de Grupos'!BA5,'Pollas Fase de Grupos'!$AZ$2,IF('Pollas Fase de Grupos'!BA5&gt;'Pollas Fase de Grupos'!AZ5,'Pollas Fase de Grupos'!$BA$2,"EMPATE"))</f>
        <v>España</v>
      </c>
      <c r="AY5" s="85">
        <f>PUNTAJE_GANADORES('Pollas Fase de Grupos'!AZ5,'Resultados Oficiales Fase de Gr'!$D$35,'Pollas Fase de Grupos'!BA5,'Resultados Oficiales Fase de Gr'!$E$35,AX5,'Resultados Oficiales Fase de Gr'!$G$35)</f>
        <v>1</v>
      </c>
      <c r="AZ5" s="85" t="str">
        <f>IF('Pollas Fase de Grupos'!BB5&gt;'Pollas Fase de Grupos'!BC5,'Pollas Fase de Grupos'!$BB$2,IF('Pollas Fase de Grupos'!BC5&gt;'Pollas Fase de Grupos'!BB5,'Pollas Fase de Grupos'!$BC$2,"EMPATE"))</f>
        <v>Alemania</v>
      </c>
      <c r="BA5" s="85">
        <f>PUNTAJE_GANADORES('Pollas Fase de Grupos'!BB5,'Resultados Oficiales Fase de Gr'!$D$36,'Pollas Fase de Grupos'!BC5,'Resultados Oficiales Fase de Gr'!$E$36,AZ5,'Resultados Oficiales Fase de Gr'!$G$36)</f>
        <v>0</v>
      </c>
      <c r="BB5" s="85" t="str">
        <f>IF('Pollas Fase de Grupos'!BD5&gt;'Pollas Fase de Grupos'!BE5,'Pollas Fase de Grupos'!$BD$2,IF('Pollas Fase de Grupos'!BE5&gt;'Pollas Fase de Grupos'!BD5,'Pollas Fase de Grupos'!$BE$2,"EMPATE"))</f>
        <v>España</v>
      </c>
      <c r="BC5" s="85">
        <f>PUNTAJE_GANADORES('Pollas Fase de Grupos'!BD5,'Resultados Oficiales Fase de Gr'!$D$37,'Pollas Fase de Grupos'!BE5,'Resultados Oficiales Fase de Gr'!$E$37,BB5,'Resultados Oficiales Fase de Gr'!$G$37)</f>
        <v>1</v>
      </c>
      <c r="BD5" s="85" t="str">
        <f>IF('Pollas Fase de Grupos'!BF5&gt;'Pollas Fase de Grupos'!BG5,'Pollas Fase de Grupos'!$BF$2,IF('Pollas Fase de Grupos'!BG5&gt;'Pollas Fase de Grupos'!BF5,'Pollas Fase de Grupos'!$BG$2,"EMPATE"))</f>
        <v>EMPATE</v>
      </c>
      <c r="BE5" s="85">
        <f>PUNTAJE_GANADORES('Pollas Fase de Grupos'!BF5,'Resultados Oficiales Fase de Gr'!$D$38,'Pollas Fase de Grupos'!BG5,'Resultados Oficiales Fase de Gr'!$E$38,BD5,'Resultados Oficiales Fase de Gr'!$G$38)</f>
        <v>1</v>
      </c>
      <c r="BF5" s="85" t="str">
        <f>IF('Pollas Fase de Grupos'!BH5&gt;'Pollas Fase de Grupos'!BI5,'Pollas Fase de Grupos'!$BH$2,IF('Pollas Fase de Grupos'!BI5&gt;'Pollas Fase de Grupos'!BH5,'Pollas Fase de Grupos'!$BI$2,"EMPATE"))</f>
        <v>España</v>
      </c>
      <c r="BG5" s="85">
        <f>PUNTAJE_GANADORES('Pollas Fase de Grupos'!BH5,'Resultados Oficiales Fase de Gr'!$D$39,'Pollas Fase de Grupos'!BI5,'Resultados Oficiales Fase de Gr'!$E$39,BF5,'Resultados Oficiales Fase de Gr'!$G$39)</f>
        <v>0</v>
      </c>
      <c r="BH5" s="85" t="str">
        <f>IF('Pollas Fase de Grupos'!BJ5&gt;'Pollas Fase de Grupos'!BK5,'Pollas Fase de Grupos'!$BJ$2,IF('Pollas Fase de Grupos'!BK5&gt;'Pollas Fase de Grupos'!BJ5,'Pollas Fase de Grupos'!$BK$2,"EMPATE"))</f>
        <v>Alemania</v>
      </c>
      <c r="BI5" s="85">
        <f>PUNTAJE_GANADORES('Pollas Fase de Grupos'!BJ5,'Resultados Oficiales Fase de Gr'!$D$40,'Pollas Fase de Grupos'!BK5,'Resultados Oficiales Fase de Gr'!$E$40,BH5,'Resultados Oficiales Fase de Gr'!$G$40)</f>
        <v>2</v>
      </c>
      <c r="BJ5" s="85" t="str">
        <f>IF('Pollas Fase de Grupos'!BL5&gt;'Pollas Fase de Grupos'!BM5,'Pollas Fase de Grupos'!$BL$2,IF('Pollas Fase de Grupos'!BM5&gt;'Pollas Fase de Grupos'!BL5,'Pollas Fase de Grupos'!$BM$2,"EMPATE"))</f>
        <v>Belgica</v>
      </c>
      <c r="BK5" s="85">
        <f>PUNTAJE_GANADORES('Pollas Fase de Grupos'!BL5,'Resultados Oficiales Fase de Gr'!$D$43,'Pollas Fase de Grupos'!BM5,'Resultados Oficiales Fase de Gr'!$E$43,BJ5,'Resultados Oficiales Fase de Gr'!$G$43)</f>
        <v>2</v>
      </c>
      <c r="BL5" s="85" t="str">
        <f>IF('Pollas Fase de Grupos'!BN5&gt;'Pollas Fase de Grupos'!BO5,'Pollas Fase de Grupos'!$BN$2,IF('Pollas Fase de Grupos'!BO5&gt;'Pollas Fase de Grupos'!BN5,'Pollas Fase de Grupos'!$BO$2,"EMPATE"))</f>
        <v>EMPATE</v>
      </c>
      <c r="BM5" s="85">
        <f>PUNTAJE_GANADORES('Pollas Fase de Grupos'!BN5,'Resultados Oficiales Fase de Gr'!$D$44,'Pollas Fase de Grupos'!BO5,'Resultados Oficiales Fase de Gr'!$E$44,BL5,'Resultados Oficiales Fase de Gr'!$G$44)</f>
        <v>1</v>
      </c>
      <c r="BN5" s="85" t="str">
        <f>IF('Pollas Fase de Grupos'!BP5&gt;'Pollas Fase de Grupos'!BQ5,'Pollas Fase de Grupos'!$BP$2,IF('Pollas Fase de Grupos'!BQ5&gt;'Pollas Fase de Grupos'!BP5,'Pollas Fase de Grupos'!$BQ$2,"EMPATE"))</f>
        <v>Belgica</v>
      </c>
      <c r="BO5" s="85">
        <f>PUNTAJE_GANADORES('Pollas Fase de Grupos'!BP5,'Resultados Oficiales Fase de Gr'!$D$45,'Pollas Fase de Grupos'!BQ5,'Resultados Oficiales Fase de Gr'!$E$45,BN5,'Resultados Oficiales Fase de Gr'!$G$45)</f>
        <v>0</v>
      </c>
      <c r="BP5" s="85" t="str">
        <f>IF('Pollas Fase de Grupos'!BR5&gt;'Pollas Fase de Grupos'!BS5,'Pollas Fase de Grupos'!$BR$2,IF('Pollas Fase de Grupos'!BS5&gt;'Pollas Fase de Grupos'!BR5,'Pollas Fase de Grupos'!$BS$2,"EMPATE"))</f>
        <v>EMPATE</v>
      </c>
      <c r="BQ5" s="85">
        <f>PUNTAJE_GANADORES('Pollas Fase de Grupos'!BR5,'Resultados Oficiales Fase de Gr'!$D$46,'Pollas Fase de Grupos'!BS5,'Resultados Oficiales Fase de Gr'!$E$46,BP5,'Resultados Oficiales Fase de Gr'!$G$46)</f>
        <v>0</v>
      </c>
      <c r="BR5" s="85" t="str">
        <f>IF('Pollas Fase de Grupos'!BT5&gt;'Pollas Fase de Grupos'!BU5,'Pollas Fase de Grupos'!$BT$2,IF('Pollas Fase de Grupos'!BU5&gt;'Pollas Fase de Grupos'!BT5,'Pollas Fase de Grupos'!$BU$2,"EMPATE"))</f>
        <v>EMPATE</v>
      </c>
      <c r="BS5" s="85">
        <f>PUNTAJE_GANADORES('Pollas Fase de Grupos'!BT5,'Resultados Oficiales Fase de Gr'!$D$47,'Pollas Fase de Grupos'!BU5,'Resultados Oficiales Fase de Gr'!$E$47,BR5,'Resultados Oficiales Fase de Gr'!$G$47)</f>
        <v>1</v>
      </c>
      <c r="BT5" s="85" t="str">
        <f>IF('Pollas Fase de Grupos'!BV5&gt;'Pollas Fase de Grupos'!BW5,'Pollas Fase de Grupos'!$BV$2,IF('Pollas Fase de Grupos'!BW5&gt;'Pollas Fase de Grupos'!BV5,'Pollas Fase de Grupos'!$BW$2,"EMPATE"))</f>
        <v>Canada</v>
      </c>
      <c r="BU5" s="85">
        <f>PUNTAJE_GANADORES('Pollas Fase de Grupos'!BV5,'Resultados Oficiales Fase de Gr'!$D$48,'Pollas Fase de Grupos'!BW5,'Resultados Oficiales Fase de Gr'!$E$48,BT5,'Resultados Oficiales Fase de Gr'!$G$48)</f>
        <v>0</v>
      </c>
      <c r="BV5" s="85" t="str">
        <f>IF('Pollas Fase de Grupos'!BX5&gt;'Pollas Fase de Grupos'!BY5,'Pollas Fase de Grupos'!$BX$2,IF('Pollas Fase de Grupos'!BY5&gt;'Pollas Fase de Grupos'!BX5,'Pollas Fase de Grupos'!$BY$2,"EMPATE"))</f>
        <v>Brasil</v>
      </c>
      <c r="BW5" s="85">
        <f>PUNTAJE_GANADORES('Pollas Fase de Grupos'!BX5,'Resultados Oficiales Fase de Gr'!$D$51,'Pollas Fase de Grupos'!BY5,'Resultados Oficiales Fase de Gr'!$E$51,BV5,'Resultados Oficiales Fase de Gr'!$G$51)</f>
        <v>5</v>
      </c>
      <c r="BX5" s="85" t="str">
        <f>IF('Pollas Fase de Grupos'!BZ5&gt;'Pollas Fase de Grupos'!CA5,'Pollas Fase de Grupos'!$BZ$2,IF('Pollas Fase de Grupos'!CA5&gt;'Pollas Fase de Grupos'!BZ5,'Pollas Fase de Grupos'!$CA$2,"EMPATE"))</f>
        <v>EMPATE</v>
      </c>
      <c r="BY5" s="85">
        <f>PUNTAJE_GANADORES('Pollas Fase de Grupos'!BZ5,'Resultados Oficiales Fase de Gr'!$D$52,'Pollas Fase de Grupos'!CA5,'Resultados Oficiales Fase de Gr'!$E$52,BX5,'Resultados Oficiales Fase de Gr'!$G$52)</f>
        <v>1</v>
      </c>
      <c r="BZ5" s="85" t="str">
        <f>IF('Pollas Fase de Grupos'!CB5&gt;'Pollas Fase de Grupos'!CC5,'Pollas Fase de Grupos'!$CB$2,IF('Pollas Fase de Grupos'!CC5&gt;'Pollas Fase de Grupos'!CB5,'Pollas Fase de Grupos'!$CC$2,"EMPATE"))</f>
        <v>Brasil</v>
      </c>
      <c r="CA5" s="85">
        <f>PUNTAJE_GANADORES('Pollas Fase de Grupos'!CB5,'Resultados Oficiales Fase de Gr'!$D$53,'Pollas Fase de Grupos'!CC5,'Resultados Oficiales Fase de Gr'!$E$53,BZ5,'Resultados Oficiales Fase de Gr'!$G$53)</f>
        <v>3</v>
      </c>
      <c r="CB5" s="85" t="str">
        <f>IF('Pollas Fase de Grupos'!CD5&gt;'Pollas Fase de Grupos'!CE5,'Pollas Fase de Grupos'!$CD$2,IF('Pollas Fase de Grupos'!CE5&gt;'Pollas Fase de Grupos'!CD5,'Pollas Fase de Grupos'!$CE$2,"EMPATE"))</f>
        <v>Serbia</v>
      </c>
      <c r="CC5" s="85">
        <f>PUNTAJE_GANADORES('Pollas Fase de Grupos'!CD5,'Resultados Oficiales Fase de Gr'!$D$54,'Pollas Fase de Grupos'!CE5,'Resultados Oficiales Fase de Gr'!$E$54,CB5,'Resultados Oficiales Fase de Gr'!$G$54)</f>
        <v>0</v>
      </c>
      <c r="CD5" s="85" t="str">
        <f>IF('Pollas Fase de Grupos'!CF5&gt;'Pollas Fase de Grupos'!CG5,'Pollas Fase de Grupos'!$CF$2,IF('Pollas Fase de Grupos'!CG5&gt;'Pollas Fase de Grupos'!CF5,'Pollas Fase de Grupos'!$CG$2,"EMPATE"))</f>
        <v>Brasil</v>
      </c>
      <c r="CE5" s="85">
        <f>PUNTAJE_GANADORES('Pollas Fase de Grupos'!CF5,'Resultados Oficiales Fase de Gr'!$D$55,'Pollas Fase de Grupos'!CG5,'Resultados Oficiales Fase de Gr'!$E$55,CD5,'Resultados Oficiales Fase de Gr'!$G$55)</f>
        <v>1</v>
      </c>
      <c r="CF5" s="85" t="str">
        <f>IF('Pollas Fase de Grupos'!CH5&gt;'Pollas Fase de Grupos'!CI5,'Pollas Fase de Grupos'!$CH$2,IF('Pollas Fase de Grupos'!CI5&gt;'Pollas Fase de Grupos'!CH5,'Pollas Fase de Grupos'!$CI$2,"EMPATE"))</f>
        <v>Serbia</v>
      </c>
      <c r="CG5" s="85">
        <f>PUNTAJE_GANADORES('Pollas Fase de Grupos'!CH5,'Resultados Oficiales Fase de Gr'!$D$56,'Pollas Fase de Grupos'!CI5,'Resultados Oficiales Fase de Gr'!$E$56,CF5,'Resultados Oficiales Fase de Gr'!$G$56)</f>
        <v>1</v>
      </c>
      <c r="CH5" s="85" t="str">
        <f>IF('Pollas Fase de Grupos'!CJ5&gt;'Pollas Fase de Grupos'!CK5,'Pollas Fase de Grupos'!$CJ$2,IF('Pollas Fase de Grupos'!CK5&gt;'Pollas Fase de Grupos'!CJ5,'Pollas Fase de Grupos'!$CK$2,"EMPATE"))</f>
        <v>Portugal</v>
      </c>
      <c r="CI5" s="85">
        <f>PUNTAJE_GANADORES('Pollas Fase de Grupos'!CJ5,'Resultados Oficiales Fase de Gr'!$D$59,'Pollas Fase de Grupos'!CK5,'Resultados Oficiales Fase de Gr'!$E$59,CH5,'Resultados Oficiales Fase de Gr'!$G$59)</f>
        <v>2</v>
      </c>
      <c r="CJ5" s="85" t="str">
        <f>IF('Pollas Fase de Grupos'!CL5&gt;'Pollas Fase de Grupos'!CM5,'Pollas Fase de Grupos'!$CL$2,IF('Pollas Fase de Grupos'!CM5&gt;'Pollas Fase de Grupos'!CL5,'Pollas Fase de Grupos'!$CM$2,"EMPATE"))</f>
        <v>EMPATE</v>
      </c>
      <c r="CK5" s="85">
        <f>PUNTAJE_GANADORES('Pollas Fase de Grupos'!CL5,'Resultados Oficiales Fase de Gr'!$D$60,'Pollas Fase de Grupos'!CM5,'Resultados Oficiales Fase de Gr'!$E$60,CJ5,'Resultados Oficiales Fase de Gr'!$G$60)</f>
        <v>5</v>
      </c>
      <c r="CL5" s="85" t="str">
        <f>IF('Pollas Fase de Grupos'!CN5&gt;'Pollas Fase de Grupos'!CO5,'Pollas Fase de Grupos'!$CN$2,IF('Pollas Fase de Grupos'!CO5&gt;'Pollas Fase de Grupos'!CN5,'Pollas Fase de Grupos'!$CO$2,"EMPATE"))</f>
        <v>Portugal</v>
      </c>
      <c r="CM5" s="85">
        <f>PUNTAJE_GANADORES('Pollas Fase de Grupos'!CN5,'Resultados Oficiales Fase de Gr'!$D$61,'Pollas Fase de Grupos'!CO5,'Resultados Oficiales Fase de Gr'!$E$61,CL5,'Resultados Oficiales Fase de Gr'!$G$61)</f>
        <v>2</v>
      </c>
      <c r="CN5" s="85" t="str">
        <f>IF('Pollas Fase de Grupos'!CP5&gt;'Pollas Fase de Grupos'!CQ5,'Pollas Fase de Grupos'!$CP$2,IF('Pollas Fase de Grupos'!CQ5&gt;'Pollas Fase de Grupos'!CP5,'Pollas Fase de Grupos'!$CQ$2,"EMPATE"))</f>
        <v>EMPATE</v>
      </c>
      <c r="CO5" s="85">
        <f>PUNTAJE_GANADORES('Pollas Fase de Grupos'!CP5,'Resultados Oficiales Fase de Gr'!$D$62,'Pollas Fase de Grupos'!CQ5,'Resultados Oficiales Fase de Gr'!$E$62,CN5,'Resultados Oficiales Fase de Gr'!$G$62)</f>
        <v>0</v>
      </c>
      <c r="CP5" s="85" t="str">
        <f>IF('Pollas Fase de Grupos'!CR5&gt;'Pollas Fase de Grupos'!CS5,'Pollas Fase de Grupos'!$CR$2,IF('Pollas Fase de Grupos'!CS5&gt;'Pollas Fase de Grupos'!CR5,'Pollas Fase de Grupos'!$CS$2,"EMPATE"))</f>
        <v>Portugal</v>
      </c>
      <c r="CQ5" s="85">
        <f>PUNTAJE_GANADORES('Pollas Fase de Grupos'!CR5,'Resultados Oficiales Fase de Gr'!$D$63,'Pollas Fase de Grupos'!CS5,'Resultados Oficiales Fase de Gr'!$E$63,CP5,'Resultados Oficiales Fase de Gr'!$G$63)</f>
        <v>0</v>
      </c>
      <c r="CR5" s="85" t="str">
        <f>IF('Pollas Fase de Grupos'!CT5&gt;'Pollas Fase de Grupos'!CU5,'Pollas Fase de Grupos'!$CT$2,IF('Pollas Fase de Grupos'!CU5&gt;'Pollas Fase de Grupos'!CT5,'Pollas Fase de Grupos'!$CU$2,"EMPATE"))</f>
        <v>EMPATE</v>
      </c>
      <c r="CS5" s="85">
        <f>PUNTAJE_GANADORES('Pollas Fase de Grupos'!CT5,'Resultados Oficiales Fase de Gr'!$D$64,'Pollas Fase de Grupos'!CU5,'Resultados Oficiales Fase de Gr'!$E$64,CR5,'Resultados Oficiales Fase de Gr'!$G$64)</f>
        <v>0</v>
      </c>
      <c r="CT5" s="4">
        <f t="shared" si="1"/>
        <v>72</v>
      </c>
      <c r="CU5" s="17">
        <v>52.0</v>
      </c>
      <c r="CV5" s="3">
        <f t="shared" si="2"/>
        <v>74</v>
      </c>
    </row>
    <row r="6">
      <c r="A6" s="3" t="str">
        <f>'Pollas Fase de Grupos'!CV6</f>
        <v>Juan Esteban Montoya Hincapie</v>
      </c>
      <c r="B6" s="4" t="str">
        <f>IF('Pollas Fase de Grupos'!D6&gt;'Pollas Fase de Grupos'!E6,'Pollas Fase de Grupos'!$D$2,IF('Pollas Fase de Grupos'!E6&gt;'Pollas Fase de Grupos'!D6,'Pollas Fase de Grupos'!$E$2,"EMPATE"))</f>
        <v>Ecuador</v>
      </c>
      <c r="C6" s="4">
        <f>PUNTAJE_GANADORES('Pollas Fase de Grupos'!D6,'Resultados Oficiales Fase de Gr'!$D$3,'Pollas Fase de Grupos'!E6,'Resultados Oficiales Fase de Gr'!$E$3,B6,'Resultados Oficiales Fase de Gr'!$G$3)</f>
        <v>5</v>
      </c>
      <c r="D6" s="85" t="str">
        <f>IF('Pollas Fase de Grupos'!F6&gt;'Pollas Fase de Grupos'!G6,'Pollas Fase de Grupos'!$F$2,IF('Pollas Fase de Grupos'!G6&gt;'Pollas Fase de Grupos'!F6,'Pollas Fase de Grupos'!$G$2,"EMPATE"))</f>
        <v>Paises Bajos</v>
      </c>
      <c r="E6" s="4">
        <f>PUNTAJE_GANADORES('Pollas Fase de Grupos'!F6,'Resultados Oficiales Fase de Gr'!$D$4,'Pollas Fase de Grupos'!G6,'Resultados Oficiales Fase de Gr'!$E$4,D6,'Resultados Oficiales Fase de Gr'!$G$4)</f>
        <v>2</v>
      </c>
      <c r="F6" s="85" t="str">
        <f>IF('Pollas Fase de Grupos'!H6&gt;'Pollas Fase de Grupos'!I6,'Pollas Fase de Grupos'!$H$2,IF('Pollas Fase de Grupos'!I6&gt;'Pollas Fase de Grupos'!H6,'Pollas Fase de Grupos'!$I$2,"EMPATE"))</f>
        <v>Senegal</v>
      </c>
      <c r="G6" s="4">
        <f>PUNTAJE_GANADORES('Pollas Fase de Grupos'!H6,'Resultados Oficiales Fase de Gr'!$D$5,'Pollas Fase de Grupos'!I6,'Resultados Oficiales Fase de Gr'!$E$5,F6,'Resultados Oficiales Fase de Gr'!$G$5)</f>
        <v>2</v>
      </c>
      <c r="H6" s="85" t="str">
        <f>IF('Pollas Fase de Grupos'!J6&gt;'Pollas Fase de Grupos'!K6,'Pollas Fase de Grupos'!$J$2,IF('Pollas Fase de Grupos'!K6&gt;'Pollas Fase de Grupos'!J6,'Pollas Fase de Grupos'!$K$2,"EMPATE"))</f>
        <v>Paises Bajos</v>
      </c>
      <c r="I6" s="4">
        <f>PUNTAJE_GANADORES('Pollas Fase de Grupos'!J6,'Resultados Oficiales Fase de Gr'!$D$6,'Pollas Fase de Grupos'!K6,'Resultados Oficiales Fase de Gr'!$E$6,H6,'Resultados Oficiales Fase de Gr'!$G$6)</f>
        <v>1</v>
      </c>
      <c r="J6" s="85" t="str">
        <f>IF('Pollas Fase de Grupos'!L6&gt;'Pollas Fase de Grupos'!M6,'Pollas Fase de Grupos'!$L$2,IF('Pollas Fase de Grupos'!M6&gt;'Pollas Fase de Grupos'!L6,'Pollas Fase de Grupos'!$M$2,"EMPATE"))</f>
        <v>Paises Bajos</v>
      </c>
      <c r="K6" s="4">
        <f>PUNTAJE_GANADORES('Pollas Fase de Grupos'!L6,'Resultados Oficiales Fase de Gr'!$D$7,'Pollas Fase de Grupos'!M6,'Resultados Oficiales Fase de Gr'!$E$7,J6,'Resultados Oficiales Fase de Gr'!$G$7)</f>
        <v>3</v>
      </c>
      <c r="L6" s="85" t="str">
        <f>IF('Pollas Fase de Grupos'!N6&gt;'Pollas Fase de Grupos'!O6,'Pollas Fase de Grupos'!$N$2,IF('Pollas Fase de Grupos'!O6&gt;'Pollas Fase de Grupos'!N6,'Pollas Fase de Grupos'!$O$2,"EMPATE"))</f>
        <v>Ecuador</v>
      </c>
      <c r="M6" s="85">
        <f>PUNTAJE_GANADORES('Pollas Fase de Grupos'!N6,'Resultados Oficiales Fase de Gr'!$D$8,'Pollas Fase de Grupos'!O6,'Resultados Oficiales Fase de Gr'!$E$8,L6,'Resultados Oficiales Fase de Gr'!$G$8)</f>
        <v>0</v>
      </c>
      <c r="N6" s="85" t="str">
        <f>IF('Pollas Fase de Grupos'!P6&gt;'Pollas Fase de Grupos'!Q6,'Pollas Fase de Grupos'!$P$2,IF('Pollas Fase de Grupos'!Q6&gt;'Pollas Fase de Grupos'!P6,'Pollas Fase de Grupos'!$Q$2,"EMPATE"))</f>
        <v>Inglaterra</v>
      </c>
      <c r="O6" s="85">
        <f>PUNTAJE_GANADORES('Pollas Fase de Grupos'!P6,'Resultados Oficiales Fase de Gr'!$D$11,'Pollas Fase de Grupos'!Q6,'Resultados Oficiales Fase de Gr'!$E$11,N6,'Resultados Oficiales Fase de Gr'!$G$11)</f>
        <v>2</v>
      </c>
      <c r="P6" s="4" t="str">
        <f>IF('Pollas Fase de Grupos'!R6&gt;'Pollas Fase de Grupos'!S6,'Pollas Fase de Grupos'!$R$2,IF('Pollas Fase de Grupos'!S6&gt;'Pollas Fase de Grupos'!R6,'Pollas Fase de Grupos'!$S$2,"EMPATE"))</f>
        <v>Estados Unidos</v>
      </c>
      <c r="Q6" s="85">
        <f>PUNTAJE_GANADORES('Pollas Fase de Grupos'!R6,'Resultados Oficiales Fase de Gr'!$D$12,'Pollas Fase de Grupos'!S6,'Resultados Oficiales Fase de Gr'!$E$12,P6,'Resultados Oficiales Fase de Gr'!$G$12)</f>
        <v>1</v>
      </c>
      <c r="R6" s="85" t="str">
        <f>IF('Pollas Fase de Grupos'!T6&gt;'Pollas Fase de Grupos'!U6,'Pollas Fase de Grupos'!$T$2,IF('Pollas Fase de Grupos'!U6&gt;'Pollas Fase de Grupos'!T6,'Pollas Fase de Grupos'!$U$2,"EMPATE"))</f>
        <v>Inglaterra</v>
      </c>
      <c r="S6" s="4">
        <f>PUNTAJE_GANADORES('Pollas Fase de Grupos'!T6,'Resultados Oficiales Fase de Gr'!$D$13,'Pollas Fase de Grupos'!U6,'Resultados Oficiales Fase de Gr'!$E$13,R6,'Resultados Oficiales Fase de Gr'!$G$13)</f>
        <v>0</v>
      </c>
      <c r="T6" s="85" t="str">
        <f>IF('Pollas Fase de Grupos'!V6&gt;'Pollas Fase de Grupos'!W6,'Pollas Fase de Grupos'!$V$2,IF('Pollas Fase de Grupos'!W6&gt;'Pollas Fase de Grupos'!V6,'Pollas Fase de Grupos'!$W$2,"EMPATE"))</f>
        <v>EMPATE</v>
      </c>
      <c r="U6" s="86">
        <f>PUNTAJE_GANADORES('Pollas Fase de Grupos'!V6,'Resultados Oficiales Fase de Gr'!$D$14,'Pollas Fase de Grupos'!W6,'Resultados Oficiales Fase de Gr'!$E$14,T6,'Resultados Oficiales Fase de Gr'!$G$14)</f>
        <v>0</v>
      </c>
      <c r="V6" s="85" t="str">
        <f>IF('Pollas Fase de Grupos'!X6&gt;'Pollas Fase de Grupos'!Y6,'Pollas Fase de Grupos'!$X$2,IF('Pollas Fase de Grupos'!Y6&gt;'Pollas Fase de Grupos'!X6,'Pollas Fase de Grupos'!$Y$2,"EMPATE"))</f>
        <v>Inglaterra</v>
      </c>
      <c r="W6" s="85">
        <f>PUNTAJE_GANADORES('Pollas Fase de Grupos'!X6,'Resultados Oficiales Fase de Gr'!$D$15,'Pollas Fase de Grupos'!Y6,'Resultados Oficiales Fase de Gr'!$E$15,V6,'Resultados Oficiales Fase de Gr'!$G$15)</f>
        <v>2</v>
      </c>
      <c r="X6" s="85" t="str">
        <f>IF('Pollas Fase de Grupos'!Z6&gt;'Pollas Fase de Grupos'!AA6,'Pollas Fase de Grupos'!$Z$2,IF('Pollas Fase de Grupos'!AA6&gt;'Pollas Fase de Grupos'!Z6,'Pollas Fase de Grupos'!$AA$2,"EMPATE"))</f>
        <v>Estados Unidos</v>
      </c>
      <c r="Y6" s="87">
        <f>PUNTAJE_GANADORES('Pollas Fase de Grupos'!Z6,'Resultados Oficiales Fase de Gr'!$D$16,'Pollas Fase de Grupos'!AA6,'Resultados Oficiales Fase de Gr'!$E$16,X6,'Resultados Oficiales Fase de Gr'!$G$16)</f>
        <v>3</v>
      </c>
      <c r="Z6" s="85" t="str">
        <f>IF('Pollas Fase de Grupos'!AB6&gt;'Pollas Fase de Grupos'!AC6,'Pollas Fase de Grupos'!$AB$2,IF('Pollas Fase de Grupos'!AC6&gt;'Pollas Fase de Grupos'!AB6,'Pollas Fase de Grupos'!$AC$2,"EMPATE"))</f>
        <v>Argentina</v>
      </c>
      <c r="AA6" s="85">
        <f>PUNTAJE_GANADORES('Pollas Fase de Grupos'!AB6,'Resultados Oficiales Fase de Gr'!$D$19,'Pollas Fase de Grupos'!AC6,'Resultados Oficiales Fase de Gr'!$E$19,Z6,'Resultados Oficiales Fase de Gr'!$G$19)</f>
        <v>0</v>
      </c>
      <c r="AB6" s="85" t="str">
        <f>IF('Pollas Fase de Grupos'!AD6&gt;'Pollas Fase de Grupos'!AE6,'Pollas Fase de Grupos'!$AD$2,IF('Pollas Fase de Grupos'!AE6&gt;'Pollas Fase de Grupos'!AD6,'Pollas Fase de Grupos'!$AE$2,"EMPATE"))</f>
        <v>Mexico</v>
      </c>
      <c r="AC6" s="85">
        <f>PUNTAJE_GANADORES('Pollas Fase de Grupos'!AD6,'Resultados Oficiales Fase de Gr'!$D$20,'Pollas Fase de Grupos'!AE6,'Resultados Oficiales Fase de Gr'!$E$20,AB6,'Resultados Oficiales Fase de Gr'!$G$20)</f>
        <v>1</v>
      </c>
      <c r="AD6" s="85" t="str">
        <f>IF('Pollas Fase de Grupos'!AF6&gt;'Pollas Fase de Grupos'!AG6,'Pollas Fase de Grupos'!$AF$2,IF('Pollas Fase de Grupos'!AG6&gt;'Pollas Fase de Grupos'!AF6,'Pollas Fase de Grupos'!$AG$2,"EMPATE"))</f>
        <v>Argentina</v>
      </c>
      <c r="AE6" s="85">
        <f>PUNTAJE_GANADORES('Pollas Fase de Grupos'!AF6,'Resultados Oficiales Fase de Gr'!$D$21,'Pollas Fase de Grupos'!AG6,'Resultados Oficiales Fase de Gr'!$E$21,AD6,'Resultados Oficiales Fase de Gr'!$G$21)</f>
        <v>5</v>
      </c>
      <c r="AF6" s="85" t="str">
        <f>IF('Pollas Fase de Grupos'!AH6&gt;'Pollas Fase de Grupos'!AI6,'Pollas Fase de Grupos'!$AH$2,IF('Pollas Fase de Grupos'!AI6&gt;'Pollas Fase de Grupos'!AH6,'Pollas Fase de Grupos'!$AI$2,"EMPATE"))</f>
        <v>Polonia</v>
      </c>
      <c r="AG6" s="85">
        <f>PUNTAJE_GANADORES('Pollas Fase de Grupos'!AH6,'Resultados Oficiales Fase de Gr'!$D$22,'Pollas Fase de Grupos'!AI6,'Resultados Oficiales Fase de Gr'!$E$22,AF6,'Resultados Oficiales Fase de Gr'!$G$22)</f>
        <v>5</v>
      </c>
      <c r="AH6" s="85" t="str">
        <f>IF('Pollas Fase de Grupos'!AJ6&gt;'Pollas Fase de Grupos'!AK6,'Pollas Fase de Grupos'!$AJ$2,IF('Pollas Fase de Grupos'!AK6&gt;'Pollas Fase de Grupos'!AJ6,'Pollas Fase de Grupos'!$AK$2,"EMPATE"))</f>
        <v>Argentina</v>
      </c>
      <c r="AI6" s="85">
        <f>PUNTAJE_GANADORES('Pollas Fase de Grupos'!AJ6,'Resultados Oficiales Fase de Gr'!$D$23,'Pollas Fase de Grupos'!AK6,'Resultados Oficiales Fase de Gr'!$E$23,AH6,'Resultados Oficiales Fase de Gr'!$G$23)</f>
        <v>2</v>
      </c>
      <c r="AJ6" s="85" t="str">
        <f>IF('Pollas Fase de Grupos'!AL6&gt;'Pollas Fase de Grupos'!AM6,'Pollas Fase de Grupos'!$AL$2,IF('Pollas Fase de Grupos'!AM6&gt;'Pollas Fase de Grupos'!AL6,'Pollas Fase de Grupos'!$AM$2,"EMPATE"))</f>
        <v>Mexico</v>
      </c>
      <c r="AK6" s="85">
        <f>PUNTAJE_GANADORES('Pollas Fase de Grupos'!AL6,'Resultados Oficiales Fase de Gr'!$D$24,'Pollas Fase de Grupos'!AM6,'Resultados Oficiales Fase de Gr'!$E$24,AJ6,'Resultados Oficiales Fase de Gr'!$G$24)</f>
        <v>5</v>
      </c>
      <c r="AL6" s="85" t="str">
        <f>IF('Pollas Fase de Grupos'!AN6&gt;'Pollas Fase de Grupos'!AO6,'Pollas Fase de Grupos'!$AN$2,IF('Pollas Fase de Grupos'!AO6&gt;'Pollas Fase de Grupos'!AN6,'Pollas Fase de Grupos'!$AO$2,"EMPATE"))</f>
        <v>Francia</v>
      </c>
      <c r="AM6" s="85">
        <f>PUNTAJE_GANADORES('Pollas Fase de Grupos'!AN6,'Resultados Oficiales Fase de Gr'!$D$27,'Pollas Fase de Grupos'!AO6,'Resultados Oficiales Fase de Gr'!$E$27,AL6,'Resultados Oficiales Fase de Gr'!$G$27)</f>
        <v>3</v>
      </c>
      <c r="AN6" s="85" t="str">
        <f>IF('Pollas Fase de Grupos'!AP6&gt;'Pollas Fase de Grupos'!AQ6,'Pollas Fase de Grupos'!$AP$2,IF('Pollas Fase de Grupos'!AQ6&gt;'Pollas Fase de Grupos'!AP6,'Pollas Fase de Grupos'!$AQ$2,"EMPATE"))</f>
        <v>Dinamarca</v>
      </c>
      <c r="AO6" s="85">
        <f>PUNTAJE_GANADORES('Pollas Fase de Grupos'!AP6,'Resultados Oficiales Fase de Gr'!$D$28,'Pollas Fase de Grupos'!AQ6,'Resultados Oficiales Fase de Gr'!$E$28,AN6,'Resultados Oficiales Fase de Gr'!$G$28)</f>
        <v>1</v>
      </c>
      <c r="AP6" s="85" t="str">
        <f>IF('Pollas Fase de Grupos'!AR6&gt;'Pollas Fase de Grupos'!AS6,'Pollas Fase de Grupos'!$AR$2,IF('Pollas Fase de Grupos'!AS6&gt;'Pollas Fase de Grupos'!AR6,'Pollas Fase de Grupos'!$AS$2,"EMPATE"))</f>
        <v>EMPATE</v>
      </c>
      <c r="AQ6" s="85">
        <f>PUNTAJE_GANADORES('Pollas Fase de Grupos'!AR6,'Resultados Oficiales Fase de Gr'!$D$29,'Pollas Fase de Grupos'!AS6,'Resultados Oficiales Fase de Gr'!$E$29,AP6,'Resultados Oficiales Fase de Gr'!$G$29)</f>
        <v>1</v>
      </c>
      <c r="AR6" s="85" t="str">
        <f>IF('Pollas Fase de Grupos'!AT6&gt;'Pollas Fase de Grupos'!AU6,'Pollas Fase de Grupos'!$AT$2,IF('Pollas Fase de Grupos'!AU6&gt;'Pollas Fase de Grupos'!AT6,'Pollas Fase de Grupos'!$AU$2,"EMPATE"))</f>
        <v>EMPATE</v>
      </c>
      <c r="AS6" s="85">
        <f>PUNTAJE_GANADORES('Pollas Fase de Grupos'!AT6,'Resultados Oficiales Fase de Gr'!$D$30,'Pollas Fase de Grupos'!AU6,'Resultados Oficiales Fase de Gr'!$E$30,AR6,'Resultados Oficiales Fase de Gr'!$G$30)</f>
        <v>1</v>
      </c>
      <c r="AT6" s="85" t="str">
        <f>IF('Pollas Fase de Grupos'!AV6&gt;'Pollas Fase de Grupos'!AW6,'Pollas Fase de Grupos'!$AV$2,IF('Pollas Fase de Grupos'!AW6&gt;'Pollas Fase de Grupos'!AV6,'Pollas Fase de Grupos'!$AW$2,"EMPATE"))</f>
        <v>Francia</v>
      </c>
      <c r="AU6" s="85">
        <f>PUNTAJE_GANADORES('Pollas Fase de Grupos'!AV6,'Resultados Oficiales Fase de Gr'!$D$31,'Pollas Fase de Grupos'!AW6,'Resultados Oficiales Fase de Gr'!$E$31,AT6,'Resultados Oficiales Fase de Gr'!$G$31)</f>
        <v>1</v>
      </c>
      <c r="AV6" s="85" t="str">
        <f>IF('Pollas Fase de Grupos'!AX6&gt;'Pollas Fase de Grupos'!AY6,'Pollas Fase de Grupos'!$AX$2,IF('Pollas Fase de Grupos'!AY6&gt;'Pollas Fase de Grupos'!AX6,'Pollas Fase de Grupos'!$AY$2,"EMPATE"))</f>
        <v>Dinamarca</v>
      </c>
      <c r="AW6" s="85">
        <f>PUNTAJE_GANADORES('Pollas Fase de Grupos'!AX6,'Resultados Oficiales Fase de Gr'!$D$32,'Pollas Fase de Grupos'!AY6,'Resultados Oficiales Fase de Gr'!$E$32,AV6,'Resultados Oficiales Fase de Gr'!$G$32)</f>
        <v>1</v>
      </c>
      <c r="AX6" s="85" t="str">
        <f>IF('Pollas Fase de Grupos'!AZ6&gt;'Pollas Fase de Grupos'!BA6,'Pollas Fase de Grupos'!$AZ$2,IF('Pollas Fase de Grupos'!BA6&gt;'Pollas Fase de Grupos'!AZ6,'Pollas Fase de Grupos'!$BA$2,"EMPATE"))</f>
        <v>España</v>
      </c>
      <c r="AY6" s="85">
        <f>PUNTAJE_GANADORES('Pollas Fase de Grupos'!AZ6,'Resultados Oficiales Fase de Gr'!$D$35,'Pollas Fase de Grupos'!BA6,'Resultados Oficiales Fase de Gr'!$E$35,AX6,'Resultados Oficiales Fase de Gr'!$G$35)</f>
        <v>0</v>
      </c>
      <c r="AZ6" s="85" t="str">
        <f>IF('Pollas Fase de Grupos'!BB6&gt;'Pollas Fase de Grupos'!BC6,'Pollas Fase de Grupos'!$BB$2,IF('Pollas Fase de Grupos'!BC6&gt;'Pollas Fase de Grupos'!BB6,'Pollas Fase de Grupos'!$BC$2,"EMPATE"))</f>
        <v>Alemania</v>
      </c>
      <c r="BA6" s="85">
        <f>PUNTAJE_GANADORES('Pollas Fase de Grupos'!BB6,'Resultados Oficiales Fase de Gr'!$D$36,'Pollas Fase de Grupos'!BC6,'Resultados Oficiales Fase de Gr'!$E$36,AZ6,'Resultados Oficiales Fase de Gr'!$G$36)</f>
        <v>0</v>
      </c>
      <c r="BB6" s="85" t="str">
        <f>IF('Pollas Fase de Grupos'!BD6&gt;'Pollas Fase de Grupos'!BE6,'Pollas Fase de Grupos'!$BD$2,IF('Pollas Fase de Grupos'!BE6&gt;'Pollas Fase de Grupos'!BD6,'Pollas Fase de Grupos'!$BE$2,"EMPATE"))</f>
        <v>España</v>
      </c>
      <c r="BC6" s="85">
        <f>PUNTAJE_GANADORES('Pollas Fase de Grupos'!BD6,'Resultados Oficiales Fase de Gr'!$D$37,'Pollas Fase de Grupos'!BE6,'Resultados Oficiales Fase de Gr'!$E$37,BB6,'Resultados Oficiales Fase de Gr'!$G$37)</f>
        <v>1</v>
      </c>
      <c r="BD6" s="85" t="str">
        <f>IF('Pollas Fase de Grupos'!BF6&gt;'Pollas Fase de Grupos'!BG6,'Pollas Fase de Grupos'!$BF$2,IF('Pollas Fase de Grupos'!BG6&gt;'Pollas Fase de Grupos'!BF6,'Pollas Fase de Grupos'!$BG$2,"EMPATE"))</f>
        <v>EMPATE</v>
      </c>
      <c r="BE6" s="85">
        <f>PUNTAJE_GANADORES('Pollas Fase de Grupos'!BF6,'Resultados Oficiales Fase de Gr'!$D$38,'Pollas Fase de Grupos'!BG6,'Resultados Oficiales Fase de Gr'!$E$38,BD6,'Resultados Oficiales Fase de Gr'!$G$38)</f>
        <v>1</v>
      </c>
      <c r="BF6" s="85" t="str">
        <f>IF('Pollas Fase de Grupos'!BH6&gt;'Pollas Fase de Grupos'!BI6,'Pollas Fase de Grupos'!$BH$2,IF('Pollas Fase de Grupos'!BI6&gt;'Pollas Fase de Grupos'!BH6,'Pollas Fase de Grupos'!$BI$2,"EMPATE"))</f>
        <v>España</v>
      </c>
      <c r="BG6" s="85">
        <f>PUNTAJE_GANADORES('Pollas Fase de Grupos'!BH6,'Resultados Oficiales Fase de Gr'!$D$39,'Pollas Fase de Grupos'!BI6,'Resultados Oficiales Fase de Gr'!$E$39,BF6,'Resultados Oficiales Fase de Gr'!$G$39)</f>
        <v>1</v>
      </c>
      <c r="BH6" s="85" t="str">
        <f>IF('Pollas Fase de Grupos'!BJ6&gt;'Pollas Fase de Grupos'!BK6,'Pollas Fase de Grupos'!$BJ$2,IF('Pollas Fase de Grupos'!BK6&gt;'Pollas Fase de Grupos'!BJ6,'Pollas Fase de Grupos'!$BK$2,"EMPATE"))</f>
        <v>Alemania</v>
      </c>
      <c r="BI6" s="85">
        <f>PUNTAJE_GANADORES('Pollas Fase de Grupos'!BJ6,'Resultados Oficiales Fase de Gr'!$D$40,'Pollas Fase de Grupos'!BK6,'Resultados Oficiales Fase de Gr'!$E$40,BH6,'Resultados Oficiales Fase de Gr'!$G$40)</f>
        <v>2</v>
      </c>
      <c r="BJ6" s="85" t="str">
        <f>IF('Pollas Fase de Grupos'!BL6&gt;'Pollas Fase de Grupos'!BM6,'Pollas Fase de Grupos'!$BL$2,IF('Pollas Fase de Grupos'!BM6&gt;'Pollas Fase de Grupos'!BL6,'Pollas Fase de Grupos'!$BM$2,"EMPATE"))</f>
        <v>Belgica</v>
      </c>
      <c r="BK6" s="85">
        <f>PUNTAJE_GANADORES('Pollas Fase de Grupos'!BL6,'Resultados Oficiales Fase de Gr'!$D$43,'Pollas Fase de Grupos'!BM6,'Resultados Oficiales Fase de Gr'!$E$43,BJ6,'Resultados Oficiales Fase de Gr'!$G$43)</f>
        <v>3</v>
      </c>
      <c r="BL6" s="85" t="str">
        <f>IF('Pollas Fase de Grupos'!BN6&gt;'Pollas Fase de Grupos'!BO6,'Pollas Fase de Grupos'!$BN$2,IF('Pollas Fase de Grupos'!BO6&gt;'Pollas Fase de Grupos'!BN6,'Pollas Fase de Grupos'!$BO$2,"EMPATE"))</f>
        <v>Croacia</v>
      </c>
      <c r="BM6" s="85">
        <f>PUNTAJE_GANADORES('Pollas Fase de Grupos'!BN6,'Resultados Oficiales Fase de Gr'!$D$44,'Pollas Fase de Grupos'!BO6,'Resultados Oficiales Fase de Gr'!$E$44,BL6,'Resultados Oficiales Fase de Gr'!$G$44)</f>
        <v>0</v>
      </c>
      <c r="BN6" s="85" t="str">
        <f>IF('Pollas Fase de Grupos'!BP6&gt;'Pollas Fase de Grupos'!BQ6,'Pollas Fase de Grupos'!$BP$2,IF('Pollas Fase de Grupos'!BQ6&gt;'Pollas Fase de Grupos'!BP6,'Pollas Fase de Grupos'!$BQ$2,"EMPATE"))</f>
        <v>Belgica</v>
      </c>
      <c r="BO6" s="85">
        <f>PUNTAJE_GANADORES('Pollas Fase de Grupos'!BP6,'Resultados Oficiales Fase de Gr'!$D$45,'Pollas Fase de Grupos'!BQ6,'Resultados Oficiales Fase de Gr'!$E$45,BN6,'Resultados Oficiales Fase de Gr'!$G$45)</f>
        <v>0</v>
      </c>
      <c r="BP6" s="85" t="str">
        <f>IF('Pollas Fase de Grupos'!BR6&gt;'Pollas Fase de Grupos'!BS6,'Pollas Fase de Grupos'!$BR$2,IF('Pollas Fase de Grupos'!BS6&gt;'Pollas Fase de Grupos'!BR6,'Pollas Fase de Grupos'!$BS$2,"EMPATE"))</f>
        <v>EMPATE</v>
      </c>
      <c r="BQ6" s="85">
        <f>PUNTAJE_GANADORES('Pollas Fase de Grupos'!BR6,'Resultados Oficiales Fase de Gr'!$D$46,'Pollas Fase de Grupos'!BS6,'Resultados Oficiales Fase de Gr'!$E$46,BP6,'Resultados Oficiales Fase de Gr'!$G$46)</f>
        <v>1</v>
      </c>
      <c r="BR6" s="85" t="str">
        <f>IF('Pollas Fase de Grupos'!BT6&gt;'Pollas Fase de Grupos'!BU6,'Pollas Fase de Grupos'!$BT$2,IF('Pollas Fase de Grupos'!BU6&gt;'Pollas Fase de Grupos'!BT6,'Pollas Fase de Grupos'!$BU$2,"EMPATE"))</f>
        <v>Belgica</v>
      </c>
      <c r="BS6" s="85">
        <f>PUNTAJE_GANADORES('Pollas Fase de Grupos'!BT6,'Resultados Oficiales Fase de Gr'!$D$47,'Pollas Fase de Grupos'!BU6,'Resultados Oficiales Fase de Gr'!$E$47,BR6,'Resultados Oficiales Fase de Gr'!$G$47)</f>
        <v>0</v>
      </c>
      <c r="BT6" s="85" t="str">
        <f>IF('Pollas Fase de Grupos'!BV6&gt;'Pollas Fase de Grupos'!BW6,'Pollas Fase de Grupos'!$BV$2,IF('Pollas Fase de Grupos'!BW6&gt;'Pollas Fase de Grupos'!BV6,'Pollas Fase de Grupos'!$BW$2,"EMPATE"))</f>
        <v>EMPATE</v>
      </c>
      <c r="BU6" s="85">
        <f>PUNTAJE_GANADORES('Pollas Fase de Grupos'!BV6,'Resultados Oficiales Fase de Gr'!$D$48,'Pollas Fase de Grupos'!BW6,'Resultados Oficiales Fase de Gr'!$E$48,BT6,'Resultados Oficiales Fase de Gr'!$G$48)</f>
        <v>1</v>
      </c>
      <c r="BV6" s="85" t="str">
        <f>IF('Pollas Fase de Grupos'!BX6&gt;'Pollas Fase de Grupos'!BY6,'Pollas Fase de Grupos'!$BX$2,IF('Pollas Fase de Grupos'!BY6&gt;'Pollas Fase de Grupos'!BX6,'Pollas Fase de Grupos'!$BY$2,"EMPATE"))</f>
        <v>EMPATE</v>
      </c>
      <c r="BW6" s="85">
        <f>PUNTAJE_GANADORES('Pollas Fase de Grupos'!BX6,'Resultados Oficiales Fase de Gr'!$D$51,'Pollas Fase de Grupos'!BY6,'Resultados Oficiales Fase de Gr'!$E$51,BV6,'Resultados Oficiales Fase de Gr'!$G$51)</f>
        <v>0</v>
      </c>
      <c r="BX6" s="85" t="str">
        <f>IF('Pollas Fase de Grupos'!BZ6&gt;'Pollas Fase de Grupos'!CA6,'Pollas Fase de Grupos'!$BZ$2,IF('Pollas Fase de Grupos'!CA6&gt;'Pollas Fase de Grupos'!BZ6,'Pollas Fase de Grupos'!$CA$2,"EMPATE"))</f>
        <v>EMPATE</v>
      </c>
      <c r="BY6" s="85">
        <f>PUNTAJE_GANADORES('Pollas Fase de Grupos'!BZ6,'Resultados Oficiales Fase de Gr'!$D$52,'Pollas Fase de Grupos'!CA6,'Resultados Oficiales Fase de Gr'!$E$52,BX6,'Resultados Oficiales Fase de Gr'!$G$52)</f>
        <v>1</v>
      </c>
      <c r="BZ6" s="85" t="str">
        <f>IF('Pollas Fase de Grupos'!CB6&gt;'Pollas Fase de Grupos'!CC6,'Pollas Fase de Grupos'!$CB$2,IF('Pollas Fase de Grupos'!CC6&gt;'Pollas Fase de Grupos'!CB6,'Pollas Fase de Grupos'!$CC$2,"EMPATE"))</f>
        <v>Brasil</v>
      </c>
      <c r="CA6" s="85">
        <f>PUNTAJE_GANADORES('Pollas Fase de Grupos'!CB6,'Resultados Oficiales Fase de Gr'!$D$53,'Pollas Fase de Grupos'!CC6,'Resultados Oficiales Fase de Gr'!$E$53,BZ6,'Resultados Oficiales Fase de Gr'!$G$53)</f>
        <v>3</v>
      </c>
      <c r="CB6" s="85" t="str">
        <f>IF('Pollas Fase de Grupos'!CD6&gt;'Pollas Fase de Grupos'!CE6,'Pollas Fase de Grupos'!$CD$2,IF('Pollas Fase de Grupos'!CE6&gt;'Pollas Fase de Grupos'!CD6,'Pollas Fase de Grupos'!$CE$2,"EMPATE"))</f>
        <v>Camerun</v>
      </c>
      <c r="CC6" s="85">
        <f>PUNTAJE_GANADORES('Pollas Fase de Grupos'!CD6,'Resultados Oficiales Fase de Gr'!$D$54,'Pollas Fase de Grupos'!CE6,'Resultados Oficiales Fase de Gr'!$E$54,CB6,'Resultados Oficiales Fase de Gr'!$G$54)</f>
        <v>0</v>
      </c>
      <c r="CD6" s="85" t="str">
        <f>IF('Pollas Fase de Grupos'!CF6&gt;'Pollas Fase de Grupos'!CG6,'Pollas Fase de Grupos'!$CF$2,IF('Pollas Fase de Grupos'!CG6&gt;'Pollas Fase de Grupos'!CF6,'Pollas Fase de Grupos'!$CG$2,"EMPATE"))</f>
        <v>EMPATE</v>
      </c>
      <c r="CE6" s="85">
        <f>PUNTAJE_GANADORES('Pollas Fase de Grupos'!CF6,'Resultados Oficiales Fase de Gr'!$D$55,'Pollas Fase de Grupos'!CG6,'Resultados Oficiales Fase de Gr'!$E$55,CD6,'Resultados Oficiales Fase de Gr'!$G$55)</f>
        <v>1</v>
      </c>
      <c r="CF6" s="85" t="str">
        <f>IF('Pollas Fase de Grupos'!CH6&gt;'Pollas Fase de Grupos'!CI6,'Pollas Fase de Grupos'!$CH$2,IF('Pollas Fase de Grupos'!CI6&gt;'Pollas Fase de Grupos'!CH6,'Pollas Fase de Grupos'!$CI$2,"EMPATE"))</f>
        <v>Serbia</v>
      </c>
      <c r="CG6" s="85">
        <f>PUNTAJE_GANADORES('Pollas Fase de Grupos'!CH6,'Resultados Oficiales Fase de Gr'!$D$56,'Pollas Fase de Grupos'!CI6,'Resultados Oficiales Fase de Gr'!$E$56,CF6,'Resultados Oficiales Fase de Gr'!$G$56)</f>
        <v>1</v>
      </c>
      <c r="CH6" s="85" t="str">
        <f>IF('Pollas Fase de Grupos'!CJ6&gt;'Pollas Fase de Grupos'!CK6,'Pollas Fase de Grupos'!$CJ$2,IF('Pollas Fase de Grupos'!CK6&gt;'Pollas Fase de Grupos'!CJ6,'Pollas Fase de Grupos'!$CK$2,"EMPATE"))</f>
        <v>Portugal</v>
      </c>
      <c r="CI6" s="85">
        <f>PUNTAJE_GANADORES('Pollas Fase de Grupos'!CJ6,'Resultados Oficiales Fase de Gr'!$D$59,'Pollas Fase de Grupos'!CK6,'Resultados Oficiales Fase de Gr'!$E$59,CH6,'Resultados Oficiales Fase de Gr'!$G$59)</f>
        <v>2</v>
      </c>
      <c r="CJ6" s="85" t="str">
        <f>IF('Pollas Fase de Grupos'!CL6&gt;'Pollas Fase de Grupos'!CM6,'Pollas Fase de Grupos'!$CL$2,IF('Pollas Fase de Grupos'!CM6&gt;'Pollas Fase de Grupos'!CL6,'Pollas Fase de Grupos'!$CM$2,"EMPATE"))</f>
        <v>Uruguay</v>
      </c>
      <c r="CK6" s="85">
        <f>PUNTAJE_GANADORES('Pollas Fase de Grupos'!CL6,'Resultados Oficiales Fase de Gr'!$D$60,'Pollas Fase de Grupos'!CM6,'Resultados Oficiales Fase de Gr'!$E$60,CJ6,'Resultados Oficiales Fase de Gr'!$G$60)</f>
        <v>0</v>
      </c>
      <c r="CL6" s="85" t="str">
        <f>IF('Pollas Fase de Grupos'!CN6&gt;'Pollas Fase de Grupos'!CO6,'Pollas Fase de Grupos'!$CN$2,IF('Pollas Fase de Grupos'!CO6&gt;'Pollas Fase de Grupos'!CN6,'Pollas Fase de Grupos'!$CO$2,"EMPATE"))</f>
        <v>Uruguay</v>
      </c>
      <c r="CM6" s="85">
        <f>PUNTAJE_GANADORES('Pollas Fase de Grupos'!CN6,'Resultados Oficiales Fase de Gr'!$D$61,'Pollas Fase de Grupos'!CO6,'Resultados Oficiales Fase de Gr'!$E$61,CL6,'Resultados Oficiales Fase de Gr'!$G$61)</f>
        <v>0</v>
      </c>
      <c r="CN6" s="85" t="str">
        <f>IF('Pollas Fase de Grupos'!CP6&gt;'Pollas Fase de Grupos'!CQ6,'Pollas Fase de Grupos'!$CP$2,IF('Pollas Fase de Grupos'!CQ6&gt;'Pollas Fase de Grupos'!CP6,'Pollas Fase de Grupos'!$CQ$2,"EMPATE"))</f>
        <v>Ghana</v>
      </c>
      <c r="CO6" s="85">
        <f>PUNTAJE_GANADORES('Pollas Fase de Grupos'!CP6,'Resultados Oficiales Fase de Gr'!$D$62,'Pollas Fase de Grupos'!CQ6,'Resultados Oficiales Fase de Gr'!$E$62,CN6,'Resultados Oficiales Fase de Gr'!$G$62)</f>
        <v>2</v>
      </c>
      <c r="CP6" s="85" t="str">
        <f>IF('Pollas Fase de Grupos'!CR6&gt;'Pollas Fase de Grupos'!CS6,'Pollas Fase de Grupos'!$CR$2,IF('Pollas Fase de Grupos'!CS6&gt;'Pollas Fase de Grupos'!CR6,'Pollas Fase de Grupos'!$CS$2,"EMPATE"))</f>
        <v>Portugal</v>
      </c>
      <c r="CQ6" s="85">
        <f>PUNTAJE_GANADORES('Pollas Fase de Grupos'!CR6,'Resultados Oficiales Fase de Gr'!$D$63,'Pollas Fase de Grupos'!CS6,'Resultados Oficiales Fase de Gr'!$E$63,CP6,'Resultados Oficiales Fase de Gr'!$G$63)</f>
        <v>0</v>
      </c>
      <c r="CR6" s="85" t="str">
        <f>IF('Pollas Fase de Grupos'!CT6&gt;'Pollas Fase de Grupos'!CU6,'Pollas Fase de Grupos'!$CT$2,IF('Pollas Fase de Grupos'!CU6&gt;'Pollas Fase de Grupos'!CT6,'Pollas Fase de Grupos'!$CU$2,"EMPATE"))</f>
        <v>Uruguay</v>
      </c>
      <c r="CS6" s="85">
        <f>PUNTAJE_GANADORES('Pollas Fase de Grupos'!CT6,'Resultados Oficiales Fase de Gr'!$D$64,'Pollas Fase de Grupos'!CU6,'Resultados Oficiales Fase de Gr'!$E$64,CR6,'Resultados Oficiales Fase de Gr'!$G$64)</f>
        <v>3</v>
      </c>
      <c r="CT6" s="4">
        <f t="shared" si="1"/>
        <v>70</v>
      </c>
      <c r="CU6" s="17">
        <v>47.0</v>
      </c>
      <c r="CV6" s="3">
        <f t="shared" si="2"/>
        <v>73</v>
      </c>
    </row>
    <row r="7">
      <c r="A7" s="3" t="str">
        <f>'Pollas Fase de Grupos'!CV7</f>
        <v>Emerson Alexis Gomez</v>
      </c>
      <c r="B7" s="4" t="str">
        <f>IF('Pollas Fase de Grupos'!D7&gt;'Pollas Fase de Grupos'!E7,'Pollas Fase de Grupos'!$D$2,IF('Pollas Fase de Grupos'!E7&gt;'Pollas Fase de Grupos'!D7,'Pollas Fase de Grupos'!$E$2,"EMPATE"))</f>
        <v>Ecuador</v>
      </c>
      <c r="C7" s="4">
        <f>PUNTAJE_GANADORES('Pollas Fase de Grupos'!D7,'Resultados Oficiales Fase de Gr'!$D$3,'Pollas Fase de Grupos'!E7,'Resultados Oficiales Fase de Gr'!$E$3,B7,'Resultados Oficiales Fase de Gr'!$G$3)</f>
        <v>5</v>
      </c>
      <c r="D7" s="85" t="str">
        <f>IF('Pollas Fase de Grupos'!F7&gt;'Pollas Fase de Grupos'!G7,'Pollas Fase de Grupos'!$F$2,IF('Pollas Fase de Grupos'!G7&gt;'Pollas Fase de Grupos'!F7,'Pollas Fase de Grupos'!$G$2,"EMPATE"))</f>
        <v>Paises Bajos</v>
      </c>
      <c r="E7" s="4">
        <f>PUNTAJE_GANADORES('Pollas Fase de Grupos'!F7,'Resultados Oficiales Fase de Gr'!$D$4,'Pollas Fase de Grupos'!G7,'Resultados Oficiales Fase de Gr'!$E$4,D7,'Resultados Oficiales Fase de Gr'!$G$4)</f>
        <v>3</v>
      </c>
      <c r="F7" s="85" t="str">
        <f>IF('Pollas Fase de Grupos'!H7&gt;'Pollas Fase de Grupos'!I7,'Pollas Fase de Grupos'!$H$2,IF('Pollas Fase de Grupos'!I7&gt;'Pollas Fase de Grupos'!H7,'Pollas Fase de Grupos'!$I$2,"EMPATE"))</f>
        <v>Senegal</v>
      </c>
      <c r="G7" s="4">
        <f>PUNTAJE_GANADORES('Pollas Fase de Grupos'!H7,'Resultados Oficiales Fase de Gr'!$D$5,'Pollas Fase de Grupos'!I7,'Resultados Oficiales Fase de Gr'!$E$5,F7,'Resultados Oficiales Fase de Gr'!$G$5)</f>
        <v>3</v>
      </c>
      <c r="H7" s="85" t="str">
        <f>IF('Pollas Fase de Grupos'!J7&gt;'Pollas Fase de Grupos'!K7,'Pollas Fase de Grupos'!$J$2,IF('Pollas Fase de Grupos'!K7&gt;'Pollas Fase de Grupos'!J7,'Pollas Fase de Grupos'!$K$2,"EMPATE"))</f>
        <v>EMPATE</v>
      </c>
      <c r="I7" s="4">
        <f>PUNTAJE_GANADORES('Pollas Fase de Grupos'!J7,'Resultados Oficiales Fase de Gr'!$D$6,'Pollas Fase de Grupos'!K7,'Resultados Oficiales Fase de Gr'!$E$6,H7,'Resultados Oficiales Fase de Gr'!$G$6)</f>
        <v>1</v>
      </c>
      <c r="J7" s="85" t="str">
        <f>IF('Pollas Fase de Grupos'!L7&gt;'Pollas Fase de Grupos'!M7,'Pollas Fase de Grupos'!$L$2,IF('Pollas Fase de Grupos'!M7&gt;'Pollas Fase de Grupos'!L7,'Pollas Fase de Grupos'!$M$2,"EMPATE"))</f>
        <v>Paises Bajos</v>
      </c>
      <c r="K7" s="4">
        <f>PUNTAJE_GANADORES('Pollas Fase de Grupos'!L7,'Resultados Oficiales Fase de Gr'!$D$7,'Pollas Fase de Grupos'!M7,'Resultados Oficiales Fase de Gr'!$E$7,J7,'Resultados Oficiales Fase de Gr'!$G$7)</f>
        <v>5</v>
      </c>
      <c r="L7" s="85" t="str">
        <f>IF('Pollas Fase de Grupos'!N7&gt;'Pollas Fase de Grupos'!O7,'Pollas Fase de Grupos'!$N$2,IF('Pollas Fase de Grupos'!O7&gt;'Pollas Fase de Grupos'!N7,'Pollas Fase de Grupos'!$O$2,"EMPATE"))</f>
        <v>Senegal</v>
      </c>
      <c r="M7" s="85">
        <f>PUNTAJE_GANADORES('Pollas Fase de Grupos'!N7,'Resultados Oficiales Fase de Gr'!$D$8,'Pollas Fase de Grupos'!O7,'Resultados Oficiales Fase de Gr'!$E$8,L7,'Resultados Oficiales Fase de Gr'!$G$8)</f>
        <v>2</v>
      </c>
      <c r="N7" s="85" t="str">
        <f>IF('Pollas Fase de Grupos'!P7&gt;'Pollas Fase de Grupos'!Q7,'Pollas Fase de Grupos'!$P$2,IF('Pollas Fase de Grupos'!Q7&gt;'Pollas Fase de Grupos'!P7,'Pollas Fase de Grupos'!$Q$2,"EMPATE"))</f>
        <v>Inglaterra</v>
      </c>
      <c r="O7" s="85">
        <f>PUNTAJE_GANADORES('Pollas Fase de Grupos'!P7,'Resultados Oficiales Fase de Gr'!$D$11,'Pollas Fase de Grupos'!Q7,'Resultados Oficiales Fase de Gr'!$E$11,N7,'Resultados Oficiales Fase de Gr'!$G$11)</f>
        <v>2</v>
      </c>
      <c r="P7" s="4" t="str">
        <f>IF('Pollas Fase de Grupos'!R7&gt;'Pollas Fase de Grupos'!S7,'Pollas Fase de Grupos'!$R$2,IF('Pollas Fase de Grupos'!S7&gt;'Pollas Fase de Grupos'!R7,'Pollas Fase de Grupos'!$S$2,"EMPATE"))</f>
        <v>Estados Unidos</v>
      </c>
      <c r="Q7" s="85">
        <f>PUNTAJE_GANADORES('Pollas Fase de Grupos'!R7,'Resultados Oficiales Fase de Gr'!$D$12,'Pollas Fase de Grupos'!S7,'Resultados Oficiales Fase de Gr'!$E$12,P7,'Resultados Oficiales Fase de Gr'!$G$12)</f>
        <v>1</v>
      </c>
      <c r="R7" s="85" t="str">
        <f>IF('Pollas Fase de Grupos'!T7&gt;'Pollas Fase de Grupos'!U7,'Pollas Fase de Grupos'!$T$2,IF('Pollas Fase de Grupos'!U7&gt;'Pollas Fase de Grupos'!T7,'Pollas Fase de Grupos'!$U$2,"EMPATE"))</f>
        <v>Inglaterra</v>
      </c>
      <c r="S7" s="4">
        <f>PUNTAJE_GANADORES('Pollas Fase de Grupos'!T7,'Resultados Oficiales Fase de Gr'!$D$13,'Pollas Fase de Grupos'!U7,'Resultados Oficiales Fase de Gr'!$E$13,R7,'Resultados Oficiales Fase de Gr'!$G$13)</f>
        <v>0</v>
      </c>
      <c r="T7" s="85" t="str">
        <f>IF('Pollas Fase de Grupos'!V7&gt;'Pollas Fase de Grupos'!W7,'Pollas Fase de Grupos'!$V$2,IF('Pollas Fase de Grupos'!W7&gt;'Pollas Fase de Grupos'!V7,'Pollas Fase de Grupos'!$W$2,"EMPATE"))</f>
        <v>Gales</v>
      </c>
      <c r="U7" s="86">
        <f>PUNTAJE_GANADORES('Pollas Fase de Grupos'!V7,'Resultados Oficiales Fase de Gr'!$D$14,'Pollas Fase de Grupos'!W7,'Resultados Oficiales Fase de Gr'!$E$14,T7,'Resultados Oficiales Fase de Gr'!$G$14)</f>
        <v>0</v>
      </c>
      <c r="V7" s="85" t="str">
        <f>IF('Pollas Fase de Grupos'!X7&gt;'Pollas Fase de Grupos'!Y7,'Pollas Fase de Grupos'!$X$2,IF('Pollas Fase de Grupos'!Y7&gt;'Pollas Fase de Grupos'!X7,'Pollas Fase de Grupos'!$Y$2,"EMPATE"))</f>
        <v>Inglaterra</v>
      </c>
      <c r="W7" s="85">
        <f>PUNTAJE_GANADORES('Pollas Fase de Grupos'!X7,'Resultados Oficiales Fase de Gr'!$D$15,'Pollas Fase de Grupos'!Y7,'Resultados Oficiales Fase de Gr'!$E$15,V7,'Resultados Oficiales Fase de Gr'!$G$15)</f>
        <v>5</v>
      </c>
      <c r="X7" s="85" t="str">
        <f>IF('Pollas Fase de Grupos'!Z7&gt;'Pollas Fase de Grupos'!AA7,'Pollas Fase de Grupos'!$Z$2,IF('Pollas Fase de Grupos'!AA7&gt;'Pollas Fase de Grupos'!Z7,'Pollas Fase de Grupos'!$AA$2,"EMPATE"))</f>
        <v>EMPATE</v>
      </c>
      <c r="Y7" s="87">
        <f>PUNTAJE_GANADORES('Pollas Fase de Grupos'!Z7,'Resultados Oficiales Fase de Gr'!$D$16,'Pollas Fase de Grupos'!AA7,'Resultados Oficiales Fase de Gr'!$E$16,X7,'Resultados Oficiales Fase de Gr'!$G$16)</f>
        <v>1</v>
      </c>
      <c r="Z7" s="85" t="str">
        <f>IF('Pollas Fase de Grupos'!AB7&gt;'Pollas Fase de Grupos'!AC7,'Pollas Fase de Grupos'!$AB$2,IF('Pollas Fase de Grupos'!AC7&gt;'Pollas Fase de Grupos'!AB7,'Pollas Fase de Grupos'!$AC$2,"EMPATE"))</f>
        <v>Argentina</v>
      </c>
      <c r="AA7" s="85">
        <f>PUNTAJE_GANADORES('Pollas Fase de Grupos'!AB7,'Resultados Oficiales Fase de Gr'!$D$19,'Pollas Fase de Grupos'!AC7,'Resultados Oficiales Fase de Gr'!$E$19,Z7,'Resultados Oficiales Fase de Gr'!$G$19)</f>
        <v>0</v>
      </c>
      <c r="AB7" s="85" t="str">
        <f>IF('Pollas Fase de Grupos'!AD7&gt;'Pollas Fase de Grupos'!AE7,'Pollas Fase de Grupos'!$AD$2,IF('Pollas Fase de Grupos'!AE7&gt;'Pollas Fase de Grupos'!AD7,'Pollas Fase de Grupos'!$AE$2,"EMPATE"))</f>
        <v>EMPATE</v>
      </c>
      <c r="AC7" s="85">
        <f>PUNTAJE_GANADORES('Pollas Fase de Grupos'!AD7,'Resultados Oficiales Fase de Gr'!$D$20,'Pollas Fase de Grupos'!AE7,'Resultados Oficiales Fase de Gr'!$E$20,AB7,'Resultados Oficiales Fase de Gr'!$G$20)</f>
        <v>1</v>
      </c>
      <c r="AD7" s="85" t="str">
        <f>IF('Pollas Fase de Grupos'!AF7&gt;'Pollas Fase de Grupos'!AG7,'Pollas Fase de Grupos'!$AF$2,IF('Pollas Fase de Grupos'!AG7&gt;'Pollas Fase de Grupos'!AF7,'Pollas Fase de Grupos'!$AG$2,"EMPATE"))</f>
        <v>Argentina</v>
      </c>
      <c r="AE7" s="85">
        <f>PUNTAJE_GANADORES('Pollas Fase de Grupos'!AF7,'Resultados Oficiales Fase de Gr'!$D$21,'Pollas Fase de Grupos'!AG7,'Resultados Oficiales Fase de Gr'!$E$21,AD7,'Resultados Oficiales Fase de Gr'!$G$21)</f>
        <v>2</v>
      </c>
      <c r="AF7" s="85" t="str">
        <f>IF('Pollas Fase de Grupos'!AH7&gt;'Pollas Fase de Grupos'!AI7,'Pollas Fase de Grupos'!$AH$2,IF('Pollas Fase de Grupos'!AI7&gt;'Pollas Fase de Grupos'!AH7,'Pollas Fase de Grupos'!$AI$2,"EMPATE"))</f>
        <v>Polonia</v>
      </c>
      <c r="AG7" s="85">
        <f>PUNTAJE_GANADORES('Pollas Fase de Grupos'!AH7,'Resultados Oficiales Fase de Gr'!$D$22,'Pollas Fase de Grupos'!AI7,'Resultados Oficiales Fase de Gr'!$E$22,AF7,'Resultados Oficiales Fase de Gr'!$G$22)</f>
        <v>5</v>
      </c>
      <c r="AH7" s="85" t="str">
        <f>IF('Pollas Fase de Grupos'!AJ7&gt;'Pollas Fase de Grupos'!AK7,'Pollas Fase de Grupos'!$AJ$2,IF('Pollas Fase de Grupos'!AK7&gt;'Pollas Fase de Grupos'!AJ7,'Pollas Fase de Grupos'!$AK$2,"EMPATE"))</f>
        <v>EMPATE</v>
      </c>
      <c r="AI7" s="85">
        <f>PUNTAJE_GANADORES('Pollas Fase de Grupos'!AJ7,'Resultados Oficiales Fase de Gr'!$D$23,'Pollas Fase de Grupos'!AK7,'Resultados Oficiales Fase de Gr'!$E$23,AH7,'Resultados Oficiales Fase de Gr'!$G$23)</f>
        <v>1</v>
      </c>
      <c r="AJ7" s="85" t="str">
        <f>IF('Pollas Fase de Grupos'!AL7&gt;'Pollas Fase de Grupos'!AM7,'Pollas Fase de Grupos'!$AL$2,IF('Pollas Fase de Grupos'!AM7&gt;'Pollas Fase de Grupos'!AL7,'Pollas Fase de Grupos'!$AM$2,"EMPATE"))</f>
        <v>EMPATE</v>
      </c>
      <c r="AK7" s="85">
        <f>PUNTAJE_GANADORES('Pollas Fase de Grupos'!AL7,'Resultados Oficiales Fase de Gr'!$D$24,'Pollas Fase de Grupos'!AM7,'Resultados Oficiales Fase de Gr'!$E$24,AJ7,'Resultados Oficiales Fase de Gr'!$G$24)</f>
        <v>1</v>
      </c>
      <c r="AL7" s="85" t="str">
        <f>IF('Pollas Fase de Grupos'!AN7&gt;'Pollas Fase de Grupos'!AO7,'Pollas Fase de Grupos'!$AN$2,IF('Pollas Fase de Grupos'!AO7&gt;'Pollas Fase de Grupos'!AN7,'Pollas Fase de Grupos'!$AO$2,"EMPATE"))</f>
        <v>Francia</v>
      </c>
      <c r="AM7" s="85">
        <f>PUNTAJE_GANADORES('Pollas Fase de Grupos'!AN7,'Resultados Oficiales Fase de Gr'!$D$27,'Pollas Fase de Grupos'!AO7,'Resultados Oficiales Fase de Gr'!$E$27,AL7,'Resultados Oficiales Fase de Gr'!$G$27)</f>
        <v>3</v>
      </c>
      <c r="AN7" s="85" t="str">
        <f>IF('Pollas Fase de Grupos'!AP7&gt;'Pollas Fase de Grupos'!AQ7,'Pollas Fase de Grupos'!$AP$2,IF('Pollas Fase de Grupos'!AQ7&gt;'Pollas Fase de Grupos'!AP7,'Pollas Fase de Grupos'!$AQ$2,"EMPATE"))</f>
        <v>Dinamarca</v>
      </c>
      <c r="AO7" s="85">
        <f>PUNTAJE_GANADORES('Pollas Fase de Grupos'!AP7,'Resultados Oficiales Fase de Gr'!$D$28,'Pollas Fase de Grupos'!AQ7,'Resultados Oficiales Fase de Gr'!$E$28,AN7,'Resultados Oficiales Fase de Gr'!$G$28)</f>
        <v>1</v>
      </c>
      <c r="AP7" s="85" t="str">
        <f>IF('Pollas Fase de Grupos'!AR7&gt;'Pollas Fase de Grupos'!AS7,'Pollas Fase de Grupos'!$AR$2,IF('Pollas Fase de Grupos'!AS7&gt;'Pollas Fase de Grupos'!AR7,'Pollas Fase de Grupos'!$AS$2,"EMPATE"))</f>
        <v>Francia</v>
      </c>
      <c r="AQ7" s="85">
        <f>PUNTAJE_GANADORES('Pollas Fase de Grupos'!AR7,'Resultados Oficiales Fase de Gr'!$D$29,'Pollas Fase de Grupos'!AS7,'Resultados Oficiales Fase de Gr'!$E$29,AP7,'Resultados Oficiales Fase de Gr'!$G$29)</f>
        <v>3</v>
      </c>
      <c r="AR7" s="85" t="str">
        <f>IF('Pollas Fase de Grupos'!AT7&gt;'Pollas Fase de Grupos'!AU7,'Pollas Fase de Grupos'!$AT$2,IF('Pollas Fase de Grupos'!AU7&gt;'Pollas Fase de Grupos'!AT7,'Pollas Fase de Grupos'!$AU$2,"EMPATE"))</f>
        <v>EMPATE</v>
      </c>
      <c r="AS7" s="85">
        <f>PUNTAJE_GANADORES('Pollas Fase de Grupos'!AT7,'Resultados Oficiales Fase de Gr'!$D$30,'Pollas Fase de Grupos'!AU7,'Resultados Oficiales Fase de Gr'!$E$30,AR7,'Resultados Oficiales Fase de Gr'!$G$30)</f>
        <v>1</v>
      </c>
      <c r="AT7" s="85" t="str">
        <f>IF('Pollas Fase de Grupos'!AV7&gt;'Pollas Fase de Grupos'!AW7,'Pollas Fase de Grupos'!$AV$2,IF('Pollas Fase de Grupos'!AW7&gt;'Pollas Fase de Grupos'!AV7,'Pollas Fase de Grupos'!$AW$2,"EMPATE"))</f>
        <v>Francia</v>
      </c>
      <c r="AU7" s="85">
        <f>PUNTAJE_GANADORES('Pollas Fase de Grupos'!AV7,'Resultados Oficiales Fase de Gr'!$D$31,'Pollas Fase de Grupos'!AW7,'Resultados Oficiales Fase de Gr'!$E$31,AT7,'Resultados Oficiales Fase de Gr'!$G$31)</f>
        <v>1</v>
      </c>
      <c r="AV7" s="85" t="str">
        <f>IF('Pollas Fase de Grupos'!AX7&gt;'Pollas Fase de Grupos'!AY7,'Pollas Fase de Grupos'!$AX$2,IF('Pollas Fase de Grupos'!AY7&gt;'Pollas Fase de Grupos'!AX7,'Pollas Fase de Grupos'!$AY$2,"EMPATE"))</f>
        <v>EMPATE</v>
      </c>
      <c r="AW7" s="85">
        <f>PUNTAJE_GANADORES('Pollas Fase de Grupos'!AX7,'Resultados Oficiales Fase de Gr'!$D$32,'Pollas Fase de Grupos'!AY7,'Resultados Oficiales Fase de Gr'!$E$32,AV7,'Resultados Oficiales Fase de Gr'!$G$32)</f>
        <v>1</v>
      </c>
      <c r="AX7" s="85" t="str">
        <f>IF('Pollas Fase de Grupos'!AZ7&gt;'Pollas Fase de Grupos'!BA7,'Pollas Fase de Grupos'!$AZ$2,IF('Pollas Fase de Grupos'!BA7&gt;'Pollas Fase de Grupos'!AZ7,'Pollas Fase de Grupos'!$BA$2,"EMPATE"))</f>
        <v>España</v>
      </c>
      <c r="AY7" s="85">
        <f>PUNTAJE_GANADORES('Pollas Fase de Grupos'!AZ7,'Resultados Oficiales Fase de Gr'!$D$35,'Pollas Fase de Grupos'!BA7,'Resultados Oficiales Fase de Gr'!$E$35,AX7,'Resultados Oficiales Fase de Gr'!$G$35)</f>
        <v>1</v>
      </c>
      <c r="AZ7" s="85" t="str">
        <f>IF('Pollas Fase de Grupos'!BB7&gt;'Pollas Fase de Grupos'!BC7,'Pollas Fase de Grupos'!$BB$2,IF('Pollas Fase de Grupos'!BC7&gt;'Pollas Fase de Grupos'!BB7,'Pollas Fase de Grupos'!$BC$2,"EMPATE"))</f>
        <v>Alemania</v>
      </c>
      <c r="BA7" s="85">
        <f>PUNTAJE_GANADORES('Pollas Fase de Grupos'!BB7,'Resultados Oficiales Fase de Gr'!$D$36,'Pollas Fase de Grupos'!BC7,'Resultados Oficiales Fase de Gr'!$E$36,AZ7,'Resultados Oficiales Fase de Gr'!$G$36)</f>
        <v>1</v>
      </c>
      <c r="BB7" s="85" t="str">
        <f>IF('Pollas Fase de Grupos'!BD7&gt;'Pollas Fase de Grupos'!BE7,'Pollas Fase de Grupos'!$BD$2,IF('Pollas Fase de Grupos'!BE7&gt;'Pollas Fase de Grupos'!BD7,'Pollas Fase de Grupos'!$BE$2,"EMPATE"))</f>
        <v>EMPATE</v>
      </c>
      <c r="BC7" s="85">
        <f>PUNTAJE_GANADORES('Pollas Fase de Grupos'!BD7,'Resultados Oficiales Fase de Gr'!$D$37,'Pollas Fase de Grupos'!BE7,'Resultados Oficiales Fase de Gr'!$E$37,BB7,'Resultados Oficiales Fase de Gr'!$G$37)</f>
        <v>1</v>
      </c>
      <c r="BD7" s="85" t="str">
        <f>IF('Pollas Fase de Grupos'!BF7&gt;'Pollas Fase de Grupos'!BG7,'Pollas Fase de Grupos'!$BF$2,IF('Pollas Fase de Grupos'!BG7&gt;'Pollas Fase de Grupos'!BF7,'Pollas Fase de Grupos'!$BG$2,"EMPATE"))</f>
        <v>Japon</v>
      </c>
      <c r="BE7" s="85">
        <f>PUNTAJE_GANADORES('Pollas Fase de Grupos'!BF7,'Resultados Oficiales Fase de Gr'!$D$38,'Pollas Fase de Grupos'!BG7,'Resultados Oficiales Fase de Gr'!$E$38,BD7,'Resultados Oficiales Fase de Gr'!$G$38)</f>
        <v>0</v>
      </c>
      <c r="BF7" s="85" t="str">
        <f>IF('Pollas Fase de Grupos'!BH7&gt;'Pollas Fase de Grupos'!BI7,'Pollas Fase de Grupos'!$BH$2,IF('Pollas Fase de Grupos'!BI7&gt;'Pollas Fase de Grupos'!BH7,'Pollas Fase de Grupos'!$BI$2,"EMPATE"))</f>
        <v>España</v>
      </c>
      <c r="BG7" s="85">
        <f>PUNTAJE_GANADORES('Pollas Fase de Grupos'!BH7,'Resultados Oficiales Fase de Gr'!$D$39,'Pollas Fase de Grupos'!BI7,'Resultados Oficiales Fase de Gr'!$E$39,BF7,'Resultados Oficiales Fase de Gr'!$G$39)</f>
        <v>0</v>
      </c>
      <c r="BH7" s="85" t="str">
        <f>IF('Pollas Fase de Grupos'!BJ7&gt;'Pollas Fase de Grupos'!BK7,'Pollas Fase de Grupos'!$BJ$2,IF('Pollas Fase de Grupos'!BK7&gt;'Pollas Fase de Grupos'!BJ7,'Pollas Fase de Grupos'!$BK$2,"EMPATE"))</f>
        <v>Alemania</v>
      </c>
      <c r="BI7" s="85">
        <f>PUNTAJE_GANADORES('Pollas Fase de Grupos'!BJ7,'Resultados Oficiales Fase de Gr'!$D$40,'Pollas Fase de Grupos'!BK7,'Resultados Oficiales Fase de Gr'!$E$40,BH7,'Resultados Oficiales Fase de Gr'!$G$40)</f>
        <v>3</v>
      </c>
      <c r="BJ7" s="85" t="str">
        <f>IF('Pollas Fase de Grupos'!BL7&gt;'Pollas Fase de Grupos'!BM7,'Pollas Fase de Grupos'!$BL$2,IF('Pollas Fase de Grupos'!BM7&gt;'Pollas Fase de Grupos'!BL7,'Pollas Fase de Grupos'!$BM$2,"EMPATE"))</f>
        <v>Belgica</v>
      </c>
      <c r="BK7" s="85">
        <f>PUNTAJE_GANADORES('Pollas Fase de Grupos'!BL7,'Resultados Oficiales Fase de Gr'!$D$43,'Pollas Fase de Grupos'!BM7,'Resultados Oficiales Fase de Gr'!$E$43,BJ7,'Resultados Oficiales Fase de Gr'!$G$43)</f>
        <v>2</v>
      </c>
      <c r="BL7" s="85" t="str">
        <f>IF('Pollas Fase de Grupos'!BN7&gt;'Pollas Fase de Grupos'!BO7,'Pollas Fase de Grupos'!$BN$2,IF('Pollas Fase de Grupos'!BO7&gt;'Pollas Fase de Grupos'!BN7,'Pollas Fase de Grupos'!$BO$2,"EMPATE"))</f>
        <v>Croacia</v>
      </c>
      <c r="BM7" s="85">
        <f>PUNTAJE_GANADORES('Pollas Fase de Grupos'!BN7,'Resultados Oficiales Fase de Gr'!$D$44,'Pollas Fase de Grupos'!BO7,'Resultados Oficiales Fase de Gr'!$E$44,BL7,'Resultados Oficiales Fase de Gr'!$G$44)</f>
        <v>0</v>
      </c>
      <c r="BN7" s="85" t="str">
        <f>IF('Pollas Fase de Grupos'!BP7&gt;'Pollas Fase de Grupos'!BQ7,'Pollas Fase de Grupos'!$BP$2,IF('Pollas Fase de Grupos'!BQ7&gt;'Pollas Fase de Grupos'!BP7,'Pollas Fase de Grupos'!$BQ$2,"EMPATE"))</f>
        <v>EMPATE</v>
      </c>
      <c r="BO7" s="85">
        <f>PUNTAJE_GANADORES('Pollas Fase de Grupos'!BP7,'Resultados Oficiales Fase de Gr'!$D$45,'Pollas Fase de Grupos'!BQ7,'Resultados Oficiales Fase de Gr'!$E$45,BN7,'Resultados Oficiales Fase de Gr'!$G$45)</f>
        <v>0</v>
      </c>
      <c r="BP7" s="85" t="str">
        <f>IF('Pollas Fase de Grupos'!BR7&gt;'Pollas Fase de Grupos'!BS7,'Pollas Fase de Grupos'!$BR$2,IF('Pollas Fase de Grupos'!BS7&gt;'Pollas Fase de Grupos'!BR7,'Pollas Fase de Grupos'!$BS$2,"EMPATE"))</f>
        <v>EMPATE</v>
      </c>
      <c r="BQ7" s="85">
        <f>PUNTAJE_GANADORES('Pollas Fase de Grupos'!BR7,'Resultados Oficiales Fase de Gr'!$D$46,'Pollas Fase de Grupos'!BS7,'Resultados Oficiales Fase de Gr'!$E$46,BP7,'Resultados Oficiales Fase de Gr'!$G$46)</f>
        <v>0</v>
      </c>
      <c r="BR7" s="85" t="str">
        <f>IF('Pollas Fase de Grupos'!BT7&gt;'Pollas Fase de Grupos'!BU7,'Pollas Fase de Grupos'!$BT$2,IF('Pollas Fase de Grupos'!BU7&gt;'Pollas Fase de Grupos'!BT7,'Pollas Fase de Grupos'!$BU$2,"EMPATE"))</f>
        <v>Croacia</v>
      </c>
      <c r="BS7" s="85">
        <f>PUNTAJE_GANADORES('Pollas Fase de Grupos'!BT7,'Resultados Oficiales Fase de Gr'!$D$47,'Pollas Fase de Grupos'!BU7,'Resultados Oficiales Fase de Gr'!$E$47,BR7,'Resultados Oficiales Fase de Gr'!$G$47)</f>
        <v>1</v>
      </c>
      <c r="BT7" s="85" t="str">
        <f>IF('Pollas Fase de Grupos'!BV7&gt;'Pollas Fase de Grupos'!BW7,'Pollas Fase de Grupos'!$BV$2,IF('Pollas Fase de Grupos'!BW7&gt;'Pollas Fase de Grupos'!BV7,'Pollas Fase de Grupos'!$BW$2,"EMPATE"))</f>
        <v>Canada</v>
      </c>
      <c r="BU7" s="85">
        <f>PUNTAJE_GANADORES('Pollas Fase de Grupos'!BV7,'Resultados Oficiales Fase de Gr'!$D$48,'Pollas Fase de Grupos'!BW7,'Resultados Oficiales Fase de Gr'!$E$48,BT7,'Resultados Oficiales Fase de Gr'!$G$48)</f>
        <v>0</v>
      </c>
      <c r="BV7" s="85" t="str">
        <f>IF('Pollas Fase de Grupos'!BX7&gt;'Pollas Fase de Grupos'!BY7,'Pollas Fase de Grupos'!$BX$2,IF('Pollas Fase de Grupos'!BY7&gt;'Pollas Fase de Grupos'!BX7,'Pollas Fase de Grupos'!$BY$2,"EMPATE"))</f>
        <v>Brasil</v>
      </c>
      <c r="BW7" s="85">
        <f>PUNTAJE_GANADORES('Pollas Fase de Grupos'!BX7,'Resultados Oficiales Fase de Gr'!$D$51,'Pollas Fase de Grupos'!BY7,'Resultados Oficiales Fase de Gr'!$E$51,BV7,'Resultados Oficiales Fase de Gr'!$G$51)</f>
        <v>3</v>
      </c>
      <c r="BX7" s="85" t="str">
        <f>IF('Pollas Fase de Grupos'!BZ7&gt;'Pollas Fase de Grupos'!CA7,'Pollas Fase de Grupos'!$BZ$2,IF('Pollas Fase de Grupos'!CA7&gt;'Pollas Fase de Grupos'!BZ7,'Pollas Fase de Grupos'!$CA$2,"EMPATE"))</f>
        <v>Camerun</v>
      </c>
      <c r="BY7" s="85">
        <f>PUNTAJE_GANADORES('Pollas Fase de Grupos'!BZ7,'Resultados Oficiales Fase de Gr'!$D$52,'Pollas Fase de Grupos'!CA7,'Resultados Oficiales Fase de Gr'!$E$52,BX7,'Resultados Oficiales Fase de Gr'!$G$52)</f>
        <v>1</v>
      </c>
      <c r="BZ7" s="85" t="str">
        <f>IF('Pollas Fase de Grupos'!CB7&gt;'Pollas Fase de Grupos'!CC7,'Pollas Fase de Grupos'!$CB$2,IF('Pollas Fase de Grupos'!CC7&gt;'Pollas Fase de Grupos'!CB7,'Pollas Fase de Grupos'!$CC$2,"EMPATE"))</f>
        <v>Brasil</v>
      </c>
      <c r="CA7" s="85">
        <f>PUNTAJE_GANADORES('Pollas Fase de Grupos'!CB7,'Resultados Oficiales Fase de Gr'!$D$53,'Pollas Fase de Grupos'!CC7,'Resultados Oficiales Fase de Gr'!$E$53,BZ7,'Resultados Oficiales Fase de Gr'!$G$53)</f>
        <v>3</v>
      </c>
      <c r="CB7" s="85" t="str">
        <f>IF('Pollas Fase de Grupos'!CD7&gt;'Pollas Fase de Grupos'!CE7,'Pollas Fase de Grupos'!$CD$2,IF('Pollas Fase de Grupos'!CE7&gt;'Pollas Fase de Grupos'!CD7,'Pollas Fase de Grupos'!$CE$2,"EMPATE"))</f>
        <v>Camerun</v>
      </c>
      <c r="CC7" s="85">
        <f>PUNTAJE_GANADORES('Pollas Fase de Grupos'!CD7,'Resultados Oficiales Fase de Gr'!$D$54,'Pollas Fase de Grupos'!CE7,'Resultados Oficiales Fase de Gr'!$E$54,CB7,'Resultados Oficiales Fase de Gr'!$G$54)</f>
        <v>0</v>
      </c>
      <c r="CD7" s="85" t="str">
        <f>IF('Pollas Fase de Grupos'!CF7&gt;'Pollas Fase de Grupos'!CG7,'Pollas Fase de Grupos'!$CF$2,IF('Pollas Fase de Grupos'!CG7&gt;'Pollas Fase de Grupos'!CF7,'Pollas Fase de Grupos'!$CG$2,"EMPATE"))</f>
        <v>Brasil</v>
      </c>
      <c r="CE7" s="85">
        <f>PUNTAJE_GANADORES('Pollas Fase de Grupos'!CF7,'Resultados Oficiales Fase de Gr'!$D$55,'Pollas Fase de Grupos'!CG7,'Resultados Oficiales Fase de Gr'!$E$55,CD7,'Resultados Oficiales Fase de Gr'!$G$55)</f>
        <v>0</v>
      </c>
      <c r="CF7" s="85" t="str">
        <f>IF('Pollas Fase de Grupos'!CH7&gt;'Pollas Fase de Grupos'!CI7,'Pollas Fase de Grupos'!$CH$2,IF('Pollas Fase de Grupos'!CI7&gt;'Pollas Fase de Grupos'!CH7,'Pollas Fase de Grupos'!$CI$2,"EMPATE"))</f>
        <v>EMPATE</v>
      </c>
      <c r="CG7" s="85">
        <f>PUNTAJE_GANADORES('Pollas Fase de Grupos'!CH7,'Resultados Oficiales Fase de Gr'!$D$56,'Pollas Fase de Grupos'!CI7,'Resultados Oficiales Fase de Gr'!$E$56,CF7,'Resultados Oficiales Fase de Gr'!$G$56)</f>
        <v>0</v>
      </c>
      <c r="CH7" s="85" t="str">
        <f>IF('Pollas Fase de Grupos'!CJ7&gt;'Pollas Fase de Grupos'!CK7,'Pollas Fase de Grupos'!$CJ$2,IF('Pollas Fase de Grupos'!CK7&gt;'Pollas Fase de Grupos'!CJ7,'Pollas Fase de Grupos'!$CK$2,"EMPATE"))</f>
        <v>Portugal</v>
      </c>
      <c r="CI7" s="85">
        <f>PUNTAJE_GANADORES('Pollas Fase de Grupos'!CJ7,'Resultados Oficiales Fase de Gr'!$D$59,'Pollas Fase de Grupos'!CK7,'Resultados Oficiales Fase de Gr'!$E$59,CH7,'Resultados Oficiales Fase de Gr'!$G$59)</f>
        <v>2</v>
      </c>
      <c r="CJ7" s="85" t="str">
        <f>IF('Pollas Fase de Grupos'!CL7&gt;'Pollas Fase de Grupos'!CM7,'Pollas Fase de Grupos'!$CL$2,IF('Pollas Fase de Grupos'!CM7&gt;'Pollas Fase de Grupos'!CL7,'Pollas Fase de Grupos'!$CM$2,"EMPATE"))</f>
        <v>Uruguay</v>
      </c>
      <c r="CK7" s="85">
        <f>PUNTAJE_GANADORES('Pollas Fase de Grupos'!CL7,'Resultados Oficiales Fase de Gr'!$D$60,'Pollas Fase de Grupos'!CM7,'Resultados Oficiales Fase de Gr'!$E$60,CJ7,'Resultados Oficiales Fase de Gr'!$G$60)</f>
        <v>0</v>
      </c>
      <c r="CL7" s="85" t="str">
        <f>IF('Pollas Fase de Grupos'!CN7&gt;'Pollas Fase de Grupos'!CO7,'Pollas Fase de Grupos'!$CN$2,IF('Pollas Fase de Grupos'!CO7&gt;'Pollas Fase de Grupos'!CN7,'Pollas Fase de Grupos'!$CO$2,"EMPATE"))</f>
        <v>EMPATE</v>
      </c>
      <c r="CM7" s="85">
        <f>PUNTAJE_GANADORES('Pollas Fase de Grupos'!CN7,'Resultados Oficiales Fase de Gr'!$D$61,'Pollas Fase de Grupos'!CO7,'Resultados Oficiales Fase de Gr'!$E$61,CL7,'Resultados Oficiales Fase de Gr'!$G$61)</f>
        <v>1</v>
      </c>
      <c r="CN7" s="85" t="str">
        <f>IF('Pollas Fase de Grupos'!CP7&gt;'Pollas Fase de Grupos'!CQ7,'Pollas Fase de Grupos'!$CP$2,IF('Pollas Fase de Grupos'!CQ7&gt;'Pollas Fase de Grupos'!CP7,'Pollas Fase de Grupos'!$CQ$2,"EMPATE"))</f>
        <v>Corea del Sur</v>
      </c>
      <c r="CO7" s="85">
        <f>PUNTAJE_GANADORES('Pollas Fase de Grupos'!CP7,'Resultados Oficiales Fase de Gr'!$D$62,'Pollas Fase de Grupos'!CQ7,'Resultados Oficiales Fase de Gr'!$E$62,CN7,'Resultados Oficiales Fase de Gr'!$G$62)</f>
        <v>1</v>
      </c>
      <c r="CP7" s="85" t="str">
        <f>IF('Pollas Fase de Grupos'!CR7&gt;'Pollas Fase de Grupos'!CS7,'Pollas Fase de Grupos'!$CR$2,IF('Pollas Fase de Grupos'!CS7&gt;'Pollas Fase de Grupos'!CR7,'Pollas Fase de Grupos'!$CS$2,"EMPATE"))</f>
        <v>Portugal</v>
      </c>
      <c r="CQ7" s="85">
        <f>PUNTAJE_GANADORES('Pollas Fase de Grupos'!CR7,'Resultados Oficiales Fase de Gr'!$D$63,'Pollas Fase de Grupos'!CS7,'Resultados Oficiales Fase de Gr'!$E$63,CP7,'Resultados Oficiales Fase de Gr'!$G$63)</f>
        <v>0</v>
      </c>
      <c r="CR7" s="85" t="str">
        <f>IF('Pollas Fase de Grupos'!CT7&gt;'Pollas Fase de Grupos'!CU7,'Pollas Fase de Grupos'!$CT$2,IF('Pollas Fase de Grupos'!CU7&gt;'Pollas Fase de Grupos'!CT7,'Pollas Fase de Grupos'!$CU$2,"EMPATE"))</f>
        <v>EMPATE</v>
      </c>
      <c r="CS7" s="85">
        <f>PUNTAJE_GANADORES('Pollas Fase de Grupos'!CT7,'Resultados Oficiales Fase de Gr'!$D$64,'Pollas Fase de Grupos'!CU7,'Resultados Oficiales Fase de Gr'!$E$64,CR7,'Resultados Oficiales Fase de Gr'!$G$64)</f>
        <v>1</v>
      </c>
      <c r="CT7" s="4">
        <f t="shared" si="1"/>
        <v>69</v>
      </c>
      <c r="CU7" s="17">
        <v>49.0</v>
      </c>
      <c r="CV7" s="3">
        <f t="shared" si="2"/>
        <v>71</v>
      </c>
    </row>
    <row r="8">
      <c r="A8" s="3" t="str">
        <f>'Pollas Fase de Grupos'!CV8</f>
        <v>Pregunte por lo que no vea</v>
      </c>
      <c r="B8" s="4" t="str">
        <f>IF('Pollas Fase de Grupos'!D8&gt;'Pollas Fase de Grupos'!E8,'Pollas Fase de Grupos'!$D$2,IF('Pollas Fase de Grupos'!E8&gt;'Pollas Fase de Grupos'!D8,'Pollas Fase de Grupos'!$E$2,"EMPATE"))</f>
        <v>Ecuador</v>
      </c>
      <c r="C8" s="4">
        <f>PUNTAJE_GANADORES('Pollas Fase de Grupos'!D8,'Resultados Oficiales Fase de Gr'!$D$3,'Pollas Fase de Grupos'!E8,'Resultados Oficiales Fase de Gr'!$E$3,B8,'Resultados Oficiales Fase de Gr'!$G$3)</f>
        <v>3</v>
      </c>
      <c r="D8" s="85" t="str">
        <f>IF('Pollas Fase de Grupos'!F8&gt;'Pollas Fase de Grupos'!G8,'Pollas Fase de Grupos'!$F$2,IF('Pollas Fase de Grupos'!G8&gt;'Pollas Fase de Grupos'!F8,'Pollas Fase de Grupos'!$G$2,"EMPATE"))</f>
        <v>Paises Bajos</v>
      </c>
      <c r="E8" s="4">
        <f>PUNTAJE_GANADORES('Pollas Fase de Grupos'!F8,'Resultados Oficiales Fase de Gr'!$D$4,'Pollas Fase de Grupos'!G8,'Resultados Oficiales Fase de Gr'!$E$4,D8,'Resultados Oficiales Fase de Gr'!$G$4)</f>
        <v>3</v>
      </c>
      <c r="F8" s="85" t="str">
        <f>IF('Pollas Fase de Grupos'!H8&gt;'Pollas Fase de Grupos'!I8,'Pollas Fase de Grupos'!$H$2,IF('Pollas Fase de Grupos'!I8&gt;'Pollas Fase de Grupos'!H8,'Pollas Fase de Grupos'!$I$2,"EMPATE"))</f>
        <v>Senegal</v>
      </c>
      <c r="G8" s="4">
        <f>PUNTAJE_GANADORES('Pollas Fase de Grupos'!H8,'Resultados Oficiales Fase de Gr'!$D$5,'Pollas Fase de Grupos'!I8,'Resultados Oficiales Fase de Gr'!$E$5,F8,'Resultados Oficiales Fase de Gr'!$G$5)</f>
        <v>2</v>
      </c>
      <c r="H8" s="85" t="str">
        <f>IF('Pollas Fase de Grupos'!J8&gt;'Pollas Fase de Grupos'!K8,'Pollas Fase de Grupos'!$J$2,IF('Pollas Fase de Grupos'!K8&gt;'Pollas Fase de Grupos'!J8,'Pollas Fase de Grupos'!$K$2,"EMPATE"))</f>
        <v>Paises Bajos</v>
      </c>
      <c r="I8" s="4">
        <f>PUNTAJE_GANADORES('Pollas Fase de Grupos'!J8,'Resultados Oficiales Fase de Gr'!$D$6,'Pollas Fase de Grupos'!K8,'Resultados Oficiales Fase de Gr'!$E$6,H8,'Resultados Oficiales Fase de Gr'!$G$6)</f>
        <v>0</v>
      </c>
      <c r="J8" s="85" t="str">
        <f>IF('Pollas Fase de Grupos'!L8&gt;'Pollas Fase de Grupos'!M8,'Pollas Fase de Grupos'!$L$2,IF('Pollas Fase de Grupos'!M8&gt;'Pollas Fase de Grupos'!L8,'Pollas Fase de Grupos'!$M$2,"EMPATE"))</f>
        <v>Paises Bajos</v>
      </c>
      <c r="K8" s="4">
        <f>PUNTAJE_GANADORES('Pollas Fase de Grupos'!L8,'Resultados Oficiales Fase de Gr'!$D$7,'Pollas Fase de Grupos'!M8,'Resultados Oficiales Fase de Gr'!$E$7,J8,'Resultados Oficiales Fase de Gr'!$G$7)</f>
        <v>3</v>
      </c>
      <c r="L8" s="85" t="str">
        <f>IF('Pollas Fase de Grupos'!N8&gt;'Pollas Fase de Grupos'!O8,'Pollas Fase de Grupos'!$N$2,IF('Pollas Fase de Grupos'!O8&gt;'Pollas Fase de Grupos'!N8,'Pollas Fase de Grupos'!$O$2,"EMPATE"))</f>
        <v>Senegal</v>
      </c>
      <c r="M8" s="85">
        <f>PUNTAJE_GANADORES('Pollas Fase de Grupos'!N8,'Resultados Oficiales Fase de Gr'!$D$8,'Pollas Fase de Grupos'!O8,'Resultados Oficiales Fase de Gr'!$E$8,L8,'Resultados Oficiales Fase de Gr'!$G$8)</f>
        <v>3</v>
      </c>
      <c r="N8" s="85" t="str">
        <f>IF('Pollas Fase de Grupos'!P8&gt;'Pollas Fase de Grupos'!Q8,'Pollas Fase de Grupos'!$P$2,IF('Pollas Fase de Grupos'!Q8&gt;'Pollas Fase de Grupos'!P8,'Pollas Fase de Grupos'!$Q$2,"EMPATE"))</f>
        <v>Inglaterra</v>
      </c>
      <c r="O8" s="85">
        <f>PUNTAJE_GANADORES('Pollas Fase de Grupos'!P8,'Resultados Oficiales Fase de Gr'!$D$11,'Pollas Fase de Grupos'!Q8,'Resultados Oficiales Fase de Gr'!$E$11,N8,'Resultados Oficiales Fase de Gr'!$G$11)</f>
        <v>2</v>
      </c>
      <c r="P8" s="4" t="str">
        <f>IF('Pollas Fase de Grupos'!R8&gt;'Pollas Fase de Grupos'!S8,'Pollas Fase de Grupos'!$R$2,IF('Pollas Fase de Grupos'!S8&gt;'Pollas Fase de Grupos'!R8,'Pollas Fase de Grupos'!$S$2,"EMPATE"))</f>
        <v>Gales</v>
      </c>
      <c r="Q8" s="85">
        <f>PUNTAJE_GANADORES('Pollas Fase de Grupos'!R8,'Resultados Oficiales Fase de Gr'!$D$12,'Pollas Fase de Grupos'!S8,'Resultados Oficiales Fase de Gr'!$E$12,P8,'Resultados Oficiales Fase de Gr'!$G$12)</f>
        <v>1</v>
      </c>
      <c r="R8" s="85" t="str">
        <f>IF('Pollas Fase de Grupos'!T8&gt;'Pollas Fase de Grupos'!U8,'Pollas Fase de Grupos'!$T$2,IF('Pollas Fase de Grupos'!U8&gt;'Pollas Fase de Grupos'!T8,'Pollas Fase de Grupos'!$U$2,"EMPATE"))</f>
        <v>Inglaterra</v>
      </c>
      <c r="S8" s="4">
        <f>PUNTAJE_GANADORES('Pollas Fase de Grupos'!T8,'Resultados Oficiales Fase de Gr'!$D$13,'Pollas Fase de Grupos'!U8,'Resultados Oficiales Fase de Gr'!$E$13,R8,'Resultados Oficiales Fase de Gr'!$G$13)</f>
        <v>0</v>
      </c>
      <c r="T8" s="85" t="str">
        <f>IF('Pollas Fase de Grupos'!V8&gt;'Pollas Fase de Grupos'!W8,'Pollas Fase de Grupos'!$V$2,IF('Pollas Fase de Grupos'!W8&gt;'Pollas Fase de Grupos'!V8,'Pollas Fase de Grupos'!$W$2,"EMPATE"))</f>
        <v>Gales</v>
      </c>
      <c r="U8" s="86">
        <f>PUNTAJE_GANADORES('Pollas Fase de Grupos'!V8,'Resultados Oficiales Fase de Gr'!$D$14,'Pollas Fase de Grupos'!W8,'Resultados Oficiales Fase de Gr'!$E$14,T8,'Resultados Oficiales Fase de Gr'!$G$14)</f>
        <v>0</v>
      </c>
      <c r="V8" s="85" t="str">
        <f>IF('Pollas Fase de Grupos'!X8&gt;'Pollas Fase de Grupos'!Y8,'Pollas Fase de Grupos'!$X$2,IF('Pollas Fase de Grupos'!Y8&gt;'Pollas Fase de Grupos'!X8,'Pollas Fase de Grupos'!$Y$2,"EMPATE"))</f>
        <v>EMPATE</v>
      </c>
      <c r="W8" s="85">
        <f>PUNTAJE_GANADORES('Pollas Fase de Grupos'!X8,'Resultados Oficiales Fase de Gr'!$D$15,'Pollas Fase de Grupos'!Y8,'Resultados Oficiales Fase de Gr'!$E$15,V8,'Resultados Oficiales Fase de Gr'!$G$15)</f>
        <v>0</v>
      </c>
      <c r="X8" s="85" t="str">
        <f>IF('Pollas Fase de Grupos'!Z8&gt;'Pollas Fase de Grupos'!AA8,'Pollas Fase de Grupos'!$Z$2,IF('Pollas Fase de Grupos'!AA8&gt;'Pollas Fase de Grupos'!Z8,'Pollas Fase de Grupos'!$AA$2,"EMPATE"))</f>
        <v>Estados Unidos</v>
      </c>
      <c r="Y8" s="87">
        <f>PUNTAJE_GANADORES('Pollas Fase de Grupos'!Z8,'Resultados Oficiales Fase de Gr'!$D$16,'Pollas Fase de Grupos'!AA8,'Resultados Oficiales Fase de Gr'!$E$16,X8,'Resultados Oficiales Fase de Gr'!$G$16)</f>
        <v>5</v>
      </c>
      <c r="Z8" s="85" t="str">
        <f>IF('Pollas Fase de Grupos'!AB8&gt;'Pollas Fase de Grupos'!AC8,'Pollas Fase de Grupos'!$AB$2,IF('Pollas Fase de Grupos'!AC8&gt;'Pollas Fase de Grupos'!AB8,'Pollas Fase de Grupos'!$AC$2,"EMPATE"))</f>
        <v>Argentina</v>
      </c>
      <c r="AA8" s="85">
        <f>PUNTAJE_GANADORES('Pollas Fase de Grupos'!AB8,'Resultados Oficiales Fase de Gr'!$D$19,'Pollas Fase de Grupos'!AC8,'Resultados Oficiales Fase de Gr'!$E$19,Z8,'Resultados Oficiales Fase de Gr'!$G$19)</f>
        <v>0</v>
      </c>
      <c r="AB8" s="85" t="str">
        <f>IF('Pollas Fase de Grupos'!AD8&gt;'Pollas Fase de Grupos'!AE8,'Pollas Fase de Grupos'!$AD$2,IF('Pollas Fase de Grupos'!AE8&gt;'Pollas Fase de Grupos'!AD8,'Pollas Fase de Grupos'!$AE$2,"EMPATE"))</f>
        <v>EMPATE</v>
      </c>
      <c r="AC8" s="85">
        <f>PUNTAJE_GANADORES('Pollas Fase de Grupos'!AD8,'Resultados Oficiales Fase de Gr'!$D$20,'Pollas Fase de Grupos'!AE8,'Resultados Oficiales Fase de Gr'!$E$20,AB8,'Resultados Oficiales Fase de Gr'!$G$20)</f>
        <v>1</v>
      </c>
      <c r="AD8" s="85" t="str">
        <f>IF('Pollas Fase de Grupos'!AF8&gt;'Pollas Fase de Grupos'!AG8,'Pollas Fase de Grupos'!$AF$2,IF('Pollas Fase de Grupos'!AG8&gt;'Pollas Fase de Grupos'!AF8,'Pollas Fase de Grupos'!$AG$2,"EMPATE"))</f>
        <v>Argentina</v>
      </c>
      <c r="AE8" s="85">
        <f>PUNTAJE_GANADORES('Pollas Fase de Grupos'!AF8,'Resultados Oficiales Fase de Gr'!$D$21,'Pollas Fase de Grupos'!AG8,'Resultados Oficiales Fase de Gr'!$E$21,AD8,'Resultados Oficiales Fase de Gr'!$G$21)</f>
        <v>3</v>
      </c>
      <c r="AF8" s="85" t="str">
        <f>IF('Pollas Fase de Grupos'!AH8&gt;'Pollas Fase de Grupos'!AI8,'Pollas Fase de Grupos'!$AH$2,IF('Pollas Fase de Grupos'!AI8&gt;'Pollas Fase de Grupos'!AH8,'Pollas Fase de Grupos'!$AI$2,"EMPATE"))</f>
        <v>Polonia</v>
      </c>
      <c r="AG8" s="85">
        <f>PUNTAJE_GANADORES('Pollas Fase de Grupos'!AH8,'Resultados Oficiales Fase de Gr'!$D$22,'Pollas Fase de Grupos'!AI8,'Resultados Oficiales Fase de Gr'!$E$22,AF8,'Resultados Oficiales Fase de Gr'!$G$22)</f>
        <v>5</v>
      </c>
      <c r="AH8" s="85" t="str">
        <f>IF('Pollas Fase de Grupos'!AJ8&gt;'Pollas Fase de Grupos'!AK8,'Pollas Fase de Grupos'!$AJ$2,IF('Pollas Fase de Grupos'!AK8&gt;'Pollas Fase de Grupos'!AJ8,'Pollas Fase de Grupos'!$AK$2,"EMPATE"))</f>
        <v>Argentina</v>
      </c>
      <c r="AI8" s="85">
        <f>PUNTAJE_GANADORES('Pollas Fase de Grupos'!AJ8,'Resultados Oficiales Fase de Gr'!$D$23,'Pollas Fase de Grupos'!AK8,'Resultados Oficiales Fase de Gr'!$E$23,AH8,'Resultados Oficiales Fase de Gr'!$G$23)</f>
        <v>2</v>
      </c>
      <c r="AJ8" s="85" t="str">
        <f>IF('Pollas Fase de Grupos'!AL8&gt;'Pollas Fase de Grupos'!AM8,'Pollas Fase de Grupos'!$AL$2,IF('Pollas Fase de Grupos'!AM8&gt;'Pollas Fase de Grupos'!AL8,'Pollas Fase de Grupos'!$AM$2,"EMPATE"))</f>
        <v>Mexico</v>
      </c>
      <c r="AK8" s="85">
        <f>PUNTAJE_GANADORES('Pollas Fase de Grupos'!AL8,'Resultados Oficiales Fase de Gr'!$D$24,'Pollas Fase de Grupos'!AM8,'Resultados Oficiales Fase de Gr'!$E$24,AJ8,'Resultados Oficiales Fase de Gr'!$G$24)</f>
        <v>2</v>
      </c>
      <c r="AL8" s="85" t="str">
        <f>IF('Pollas Fase de Grupos'!AN8&gt;'Pollas Fase de Grupos'!AO8,'Pollas Fase de Grupos'!$AN$2,IF('Pollas Fase de Grupos'!AO8&gt;'Pollas Fase de Grupos'!AN8,'Pollas Fase de Grupos'!$AO$2,"EMPATE"))</f>
        <v>Francia</v>
      </c>
      <c r="AM8" s="85">
        <f>PUNTAJE_GANADORES('Pollas Fase de Grupos'!AN8,'Resultados Oficiales Fase de Gr'!$D$27,'Pollas Fase de Grupos'!AO8,'Resultados Oficiales Fase de Gr'!$E$27,AL8,'Resultados Oficiales Fase de Gr'!$G$27)</f>
        <v>2</v>
      </c>
      <c r="AN8" s="85" t="str">
        <f>IF('Pollas Fase de Grupos'!AP8&gt;'Pollas Fase de Grupos'!AQ8,'Pollas Fase de Grupos'!$AP$2,IF('Pollas Fase de Grupos'!AQ8&gt;'Pollas Fase de Grupos'!AP8,'Pollas Fase de Grupos'!$AQ$2,"EMPATE"))</f>
        <v>Dinamarca</v>
      </c>
      <c r="AO8" s="85">
        <f>PUNTAJE_GANADORES('Pollas Fase de Grupos'!AP8,'Resultados Oficiales Fase de Gr'!$D$28,'Pollas Fase de Grupos'!AQ8,'Resultados Oficiales Fase de Gr'!$E$28,AN8,'Resultados Oficiales Fase de Gr'!$G$28)</f>
        <v>0</v>
      </c>
      <c r="AP8" s="85" t="str">
        <f>IF('Pollas Fase de Grupos'!AR8&gt;'Pollas Fase de Grupos'!AS8,'Pollas Fase de Grupos'!$AR$2,IF('Pollas Fase de Grupos'!AS8&gt;'Pollas Fase de Grupos'!AR8,'Pollas Fase de Grupos'!$AS$2,"EMPATE"))</f>
        <v>EMPATE</v>
      </c>
      <c r="AQ8" s="85">
        <f>PUNTAJE_GANADORES('Pollas Fase de Grupos'!AR8,'Resultados Oficiales Fase de Gr'!$D$29,'Pollas Fase de Grupos'!AS8,'Resultados Oficiales Fase de Gr'!$E$29,AP8,'Resultados Oficiales Fase de Gr'!$G$29)</f>
        <v>1</v>
      </c>
      <c r="AR8" s="85" t="str">
        <f>IF('Pollas Fase de Grupos'!AT8&gt;'Pollas Fase de Grupos'!AU8,'Pollas Fase de Grupos'!$AT$2,IF('Pollas Fase de Grupos'!AU8&gt;'Pollas Fase de Grupos'!AT8,'Pollas Fase de Grupos'!$AU$2,"EMPATE"))</f>
        <v>Tunez</v>
      </c>
      <c r="AS8" s="85">
        <f>PUNTAJE_GANADORES('Pollas Fase de Grupos'!AT8,'Resultados Oficiales Fase de Gr'!$D$30,'Pollas Fase de Grupos'!AU8,'Resultados Oficiales Fase de Gr'!$E$30,AR8,'Resultados Oficiales Fase de Gr'!$G$30)</f>
        <v>0</v>
      </c>
      <c r="AT8" s="85" t="str">
        <f>IF('Pollas Fase de Grupos'!AV8&gt;'Pollas Fase de Grupos'!AW8,'Pollas Fase de Grupos'!$AV$2,IF('Pollas Fase de Grupos'!AW8&gt;'Pollas Fase de Grupos'!AV8,'Pollas Fase de Grupos'!$AW$2,"EMPATE"))</f>
        <v>Francia</v>
      </c>
      <c r="AU8" s="85">
        <f>PUNTAJE_GANADORES('Pollas Fase de Grupos'!AV8,'Resultados Oficiales Fase de Gr'!$D$31,'Pollas Fase de Grupos'!AW8,'Resultados Oficiales Fase de Gr'!$E$31,AT8,'Resultados Oficiales Fase de Gr'!$G$31)</f>
        <v>1</v>
      </c>
      <c r="AV8" s="85" t="str">
        <f>IF('Pollas Fase de Grupos'!AX8&gt;'Pollas Fase de Grupos'!AY8,'Pollas Fase de Grupos'!$AX$2,IF('Pollas Fase de Grupos'!AY8&gt;'Pollas Fase de Grupos'!AX8,'Pollas Fase de Grupos'!$AY$2,"EMPATE"))</f>
        <v>Dinamarca</v>
      </c>
      <c r="AW8" s="85">
        <f>PUNTAJE_GANADORES('Pollas Fase de Grupos'!AX8,'Resultados Oficiales Fase de Gr'!$D$32,'Pollas Fase de Grupos'!AY8,'Resultados Oficiales Fase de Gr'!$E$32,AV8,'Resultados Oficiales Fase de Gr'!$G$32)</f>
        <v>0</v>
      </c>
      <c r="AX8" s="85" t="str">
        <f>IF('Pollas Fase de Grupos'!AZ8&gt;'Pollas Fase de Grupos'!BA8,'Pollas Fase de Grupos'!$AZ$2,IF('Pollas Fase de Grupos'!BA8&gt;'Pollas Fase de Grupos'!AZ8,'Pollas Fase de Grupos'!$BA$2,"EMPATE"))</f>
        <v>España</v>
      </c>
      <c r="AY8" s="85">
        <f>PUNTAJE_GANADORES('Pollas Fase de Grupos'!AZ8,'Resultados Oficiales Fase de Gr'!$D$35,'Pollas Fase de Grupos'!BA8,'Resultados Oficiales Fase de Gr'!$E$35,AX8,'Resultados Oficiales Fase de Gr'!$G$35)</f>
        <v>1</v>
      </c>
      <c r="AZ8" s="85" t="str">
        <f>IF('Pollas Fase de Grupos'!BB8&gt;'Pollas Fase de Grupos'!BC8,'Pollas Fase de Grupos'!$BB$2,IF('Pollas Fase de Grupos'!BC8&gt;'Pollas Fase de Grupos'!BB8,'Pollas Fase de Grupos'!$BC$2,"EMPATE"))</f>
        <v>Alemania</v>
      </c>
      <c r="BA8" s="85">
        <f>PUNTAJE_GANADORES('Pollas Fase de Grupos'!BB8,'Resultados Oficiales Fase de Gr'!$D$36,'Pollas Fase de Grupos'!BC8,'Resultados Oficiales Fase de Gr'!$E$36,AZ8,'Resultados Oficiales Fase de Gr'!$G$36)</f>
        <v>0</v>
      </c>
      <c r="BB8" s="85" t="str">
        <f>IF('Pollas Fase de Grupos'!BD8&gt;'Pollas Fase de Grupos'!BE8,'Pollas Fase de Grupos'!$BD$2,IF('Pollas Fase de Grupos'!BE8&gt;'Pollas Fase de Grupos'!BD8,'Pollas Fase de Grupos'!$BE$2,"EMPATE"))</f>
        <v>Alemania</v>
      </c>
      <c r="BC8" s="85">
        <f>PUNTAJE_GANADORES('Pollas Fase de Grupos'!BD8,'Resultados Oficiales Fase de Gr'!$D$37,'Pollas Fase de Grupos'!BE8,'Resultados Oficiales Fase de Gr'!$E$37,BB8,'Resultados Oficiales Fase de Gr'!$G$37)</f>
        <v>1</v>
      </c>
      <c r="BD8" s="85" t="str">
        <f>IF('Pollas Fase de Grupos'!BF8&gt;'Pollas Fase de Grupos'!BG8,'Pollas Fase de Grupos'!$BF$2,IF('Pollas Fase de Grupos'!BG8&gt;'Pollas Fase de Grupos'!BF8,'Pollas Fase de Grupos'!$BG$2,"EMPATE"))</f>
        <v>EMPATE</v>
      </c>
      <c r="BE8" s="85">
        <f>PUNTAJE_GANADORES('Pollas Fase de Grupos'!BF8,'Resultados Oficiales Fase de Gr'!$D$38,'Pollas Fase de Grupos'!BG8,'Resultados Oficiales Fase de Gr'!$E$38,BD8,'Resultados Oficiales Fase de Gr'!$G$38)</f>
        <v>0</v>
      </c>
      <c r="BF8" s="85" t="str">
        <f>IF('Pollas Fase de Grupos'!BH8&gt;'Pollas Fase de Grupos'!BI8,'Pollas Fase de Grupos'!$BH$2,IF('Pollas Fase de Grupos'!BI8&gt;'Pollas Fase de Grupos'!BH8,'Pollas Fase de Grupos'!$BI$2,"EMPATE"))</f>
        <v>España</v>
      </c>
      <c r="BG8" s="85">
        <f>PUNTAJE_GANADORES('Pollas Fase de Grupos'!BH8,'Resultados Oficiales Fase de Gr'!$D$39,'Pollas Fase de Grupos'!BI8,'Resultados Oficiales Fase de Gr'!$E$39,BF8,'Resultados Oficiales Fase de Gr'!$G$39)</f>
        <v>1</v>
      </c>
      <c r="BH8" s="85" t="str">
        <f>IF('Pollas Fase de Grupos'!BJ8&gt;'Pollas Fase de Grupos'!BK8,'Pollas Fase de Grupos'!$BJ$2,IF('Pollas Fase de Grupos'!BK8&gt;'Pollas Fase de Grupos'!BJ8,'Pollas Fase de Grupos'!$BK$2,"EMPATE"))</f>
        <v>Alemania</v>
      </c>
      <c r="BI8" s="85">
        <f>PUNTAJE_GANADORES('Pollas Fase de Grupos'!BJ8,'Resultados Oficiales Fase de Gr'!$D$40,'Pollas Fase de Grupos'!BK8,'Resultados Oficiales Fase de Gr'!$E$40,BH8,'Resultados Oficiales Fase de Gr'!$G$40)</f>
        <v>2</v>
      </c>
      <c r="BJ8" s="85" t="str">
        <f>IF('Pollas Fase de Grupos'!BL8&gt;'Pollas Fase de Grupos'!BM8,'Pollas Fase de Grupos'!$BL$2,IF('Pollas Fase de Grupos'!BM8&gt;'Pollas Fase de Grupos'!BL8,'Pollas Fase de Grupos'!$BM$2,"EMPATE"))</f>
        <v>Belgica</v>
      </c>
      <c r="BK8" s="85">
        <f>PUNTAJE_GANADORES('Pollas Fase de Grupos'!BL8,'Resultados Oficiales Fase de Gr'!$D$43,'Pollas Fase de Grupos'!BM8,'Resultados Oficiales Fase de Gr'!$E$43,BJ8,'Resultados Oficiales Fase de Gr'!$G$43)</f>
        <v>2</v>
      </c>
      <c r="BL8" s="85" t="str">
        <f>IF('Pollas Fase de Grupos'!BN8&gt;'Pollas Fase de Grupos'!BO8,'Pollas Fase de Grupos'!$BN$2,IF('Pollas Fase de Grupos'!BO8&gt;'Pollas Fase de Grupos'!BN8,'Pollas Fase de Grupos'!$BO$2,"EMPATE"))</f>
        <v>EMPATE</v>
      </c>
      <c r="BM8" s="85">
        <f>PUNTAJE_GANADORES('Pollas Fase de Grupos'!BN8,'Resultados Oficiales Fase de Gr'!$D$44,'Pollas Fase de Grupos'!BO8,'Resultados Oficiales Fase de Gr'!$E$44,BL8,'Resultados Oficiales Fase de Gr'!$G$44)</f>
        <v>1</v>
      </c>
      <c r="BN8" s="85" t="str">
        <f>IF('Pollas Fase de Grupos'!BP8&gt;'Pollas Fase de Grupos'!BQ8,'Pollas Fase de Grupos'!$BP$2,IF('Pollas Fase de Grupos'!BQ8&gt;'Pollas Fase de Grupos'!BP8,'Pollas Fase de Grupos'!$BQ$2,"EMPATE"))</f>
        <v>Belgica</v>
      </c>
      <c r="BO8" s="85">
        <f>PUNTAJE_GANADORES('Pollas Fase de Grupos'!BP8,'Resultados Oficiales Fase de Gr'!$D$45,'Pollas Fase de Grupos'!BQ8,'Resultados Oficiales Fase de Gr'!$E$45,BN8,'Resultados Oficiales Fase de Gr'!$G$45)</f>
        <v>1</v>
      </c>
      <c r="BP8" s="85" t="str">
        <f>IF('Pollas Fase de Grupos'!BR8&gt;'Pollas Fase de Grupos'!BS8,'Pollas Fase de Grupos'!$BR$2,IF('Pollas Fase de Grupos'!BS8&gt;'Pollas Fase de Grupos'!BR8,'Pollas Fase de Grupos'!$BS$2,"EMPATE"))</f>
        <v>Croacia</v>
      </c>
      <c r="BQ8" s="85">
        <f>PUNTAJE_GANADORES('Pollas Fase de Grupos'!BR8,'Resultados Oficiales Fase de Gr'!$D$46,'Pollas Fase de Grupos'!BS8,'Resultados Oficiales Fase de Gr'!$E$46,BP8,'Resultados Oficiales Fase de Gr'!$G$46)</f>
        <v>2</v>
      </c>
      <c r="BR8" s="85" t="str">
        <f>IF('Pollas Fase de Grupos'!BT8&gt;'Pollas Fase de Grupos'!BU8,'Pollas Fase de Grupos'!$BT$2,IF('Pollas Fase de Grupos'!BU8&gt;'Pollas Fase de Grupos'!BT8,'Pollas Fase de Grupos'!$BU$2,"EMPATE"))</f>
        <v>Belgica</v>
      </c>
      <c r="BS8" s="85">
        <f>PUNTAJE_GANADORES('Pollas Fase de Grupos'!BT8,'Resultados Oficiales Fase de Gr'!$D$47,'Pollas Fase de Grupos'!BU8,'Resultados Oficiales Fase de Gr'!$E$47,BR8,'Resultados Oficiales Fase de Gr'!$G$47)</f>
        <v>1</v>
      </c>
      <c r="BT8" s="85" t="str">
        <f>IF('Pollas Fase de Grupos'!BV8&gt;'Pollas Fase de Grupos'!BW8,'Pollas Fase de Grupos'!$BV$2,IF('Pollas Fase de Grupos'!BW8&gt;'Pollas Fase de Grupos'!BV8,'Pollas Fase de Grupos'!$BW$2,"EMPATE"))</f>
        <v>Marruecos</v>
      </c>
      <c r="BU8" s="85">
        <f>PUNTAJE_GANADORES('Pollas Fase de Grupos'!BV8,'Resultados Oficiales Fase de Gr'!$D$48,'Pollas Fase de Grupos'!BW8,'Resultados Oficiales Fase de Gr'!$E$48,BT8,'Resultados Oficiales Fase de Gr'!$G$48)</f>
        <v>2</v>
      </c>
      <c r="BV8" s="85" t="str">
        <f>IF('Pollas Fase de Grupos'!BX8&gt;'Pollas Fase de Grupos'!BY8,'Pollas Fase de Grupos'!$BX$2,IF('Pollas Fase de Grupos'!BY8&gt;'Pollas Fase de Grupos'!BX8,'Pollas Fase de Grupos'!$BY$2,"EMPATE"))</f>
        <v>Serbia</v>
      </c>
      <c r="BW8" s="85">
        <f>PUNTAJE_GANADORES('Pollas Fase de Grupos'!BX8,'Resultados Oficiales Fase de Gr'!$D$51,'Pollas Fase de Grupos'!BY8,'Resultados Oficiales Fase de Gr'!$E$51,BV8,'Resultados Oficiales Fase de Gr'!$G$51)</f>
        <v>0</v>
      </c>
      <c r="BX8" s="85" t="str">
        <f>IF('Pollas Fase de Grupos'!BZ8&gt;'Pollas Fase de Grupos'!CA8,'Pollas Fase de Grupos'!$BZ$2,IF('Pollas Fase de Grupos'!CA8&gt;'Pollas Fase de Grupos'!BZ8,'Pollas Fase de Grupos'!$CA$2,"EMPATE"))</f>
        <v>Camerun</v>
      </c>
      <c r="BY8" s="85">
        <f>PUNTAJE_GANADORES('Pollas Fase de Grupos'!BZ8,'Resultados Oficiales Fase de Gr'!$D$52,'Pollas Fase de Grupos'!CA8,'Resultados Oficiales Fase de Gr'!$E$52,BX8,'Resultados Oficiales Fase de Gr'!$G$52)</f>
        <v>0</v>
      </c>
      <c r="BZ8" s="85" t="str">
        <f>IF('Pollas Fase de Grupos'!CB8&gt;'Pollas Fase de Grupos'!CC8,'Pollas Fase de Grupos'!$CB$2,IF('Pollas Fase de Grupos'!CC8&gt;'Pollas Fase de Grupos'!CB8,'Pollas Fase de Grupos'!$CC$2,"EMPATE"))</f>
        <v>Brasil</v>
      </c>
      <c r="CA8" s="85">
        <f>PUNTAJE_GANADORES('Pollas Fase de Grupos'!CB8,'Resultados Oficiales Fase de Gr'!$D$53,'Pollas Fase de Grupos'!CC8,'Resultados Oficiales Fase de Gr'!$E$53,BZ8,'Resultados Oficiales Fase de Gr'!$G$53)</f>
        <v>3</v>
      </c>
      <c r="CB8" s="85" t="str">
        <f>IF('Pollas Fase de Grupos'!CD8&gt;'Pollas Fase de Grupos'!CE8,'Pollas Fase de Grupos'!$CD$2,IF('Pollas Fase de Grupos'!CE8&gt;'Pollas Fase de Grupos'!CD8,'Pollas Fase de Grupos'!$CE$2,"EMPATE"))</f>
        <v>EMPATE</v>
      </c>
      <c r="CC8" s="85">
        <f>PUNTAJE_GANADORES('Pollas Fase de Grupos'!CD8,'Resultados Oficiales Fase de Gr'!$D$54,'Pollas Fase de Grupos'!CE8,'Resultados Oficiales Fase de Gr'!$E$54,CB8,'Resultados Oficiales Fase de Gr'!$G$54)</f>
        <v>1</v>
      </c>
      <c r="CD8" s="85" t="str">
        <f>IF('Pollas Fase de Grupos'!CF8&gt;'Pollas Fase de Grupos'!CG8,'Pollas Fase de Grupos'!$CF$2,IF('Pollas Fase de Grupos'!CG8&gt;'Pollas Fase de Grupos'!CF8,'Pollas Fase de Grupos'!$CG$2,"EMPATE"))</f>
        <v>Brasil</v>
      </c>
      <c r="CE8" s="85">
        <f>PUNTAJE_GANADORES('Pollas Fase de Grupos'!CF8,'Resultados Oficiales Fase de Gr'!$D$55,'Pollas Fase de Grupos'!CG8,'Resultados Oficiales Fase de Gr'!$E$55,CD8,'Resultados Oficiales Fase de Gr'!$G$55)</f>
        <v>0</v>
      </c>
      <c r="CF8" s="85" t="str">
        <f>IF('Pollas Fase de Grupos'!CH8&gt;'Pollas Fase de Grupos'!CI8,'Pollas Fase de Grupos'!$CH$2,IF('Pollas Fase de Grupos'!CI8&gt;'Pollas Fase de Grupos'!CH8,'Pollas Fase de Grupos'!$CI$2,"EMPATE"))</f>
        <v>Serbia</v>
      </c>
      <c r="CG8" s="85">
        <f>PUNTAJE_GANADORES('Pollas Fase de Grupos'!CH8,'Resultados Oficiales Fase de Gr'!$D$56,'Pollas Fase de Grupos'!CI8,'Resultados Oficiales Fase de Gr'!$E$56,CF8,'Resultados Oficiales Fase de Gr'!$G$56)</f>
        <v>1</v>
      </c>
      <c r="CH8" s="85" t="str">
        <f>IF('Pollas Fase de Grupos'!CJ8&gt;'Pollas Fase de Grupos'!CK8,'Pollas Fase de Grupos'!$CJ$2,IF('Pollas Fase de Grupos'!CK8&gt;'Pollas Fase de Grupos'!CJ8,'Pollas Fase de Grupos'!$CK$2,"EMPATE"))</f>
        <v>Portugal</v>
      </c>
      <c r="CI8" s="85">
        <f>PUNTAJE_GANADORES('Pollas Fase de Grupos'!CJ8,'Resultados Oficiales Fase de Gr'!$D$59,'Pollas Fase de Grupos'!CK8,'Resultados Oficiales Fase de Gr'!$E$59,CH8,'Resultados Oficiales Fase de Gr'!$G$59)</f>
        <v>2</v>
      </c>
      <c r="CJ8" s="85" t="str">
        <f>IF('Pollas Fase de Grupos'!CL8&gt;'Pollas Fase de Grupos'!CM8,'Pollas Fase de Grupos'!$CL$2,IF('Pollas Fase de Grupos'!CM8&gt;'Pollas Fase de Grupos'!CL8,'Pollas Fase de Grupos'!$CM$2,"EMPATE"))</f>
        <v>Uruguay</v>
      </c>
      <c r="CK8" s="85">
        <f>PUNTAJE_GANADORES('Pollas Fase de Grupos'!CL8,'Resultados Oficiales Fase de Gr'!$D$60,'Pollas Fase de Grupos'!CM8,'Resultados Oficiales Fase de Gr'!$E$60,CJ8,'Resultados Oficiales Fase de Gr'!$G$60)</f>
        <v>1</v>
      </c>
      <c r="CL8" s="85" t="str">
        <f>IF('Pollas Fase de Grupos'!CN8&gt;'Pollas Fase de Grupos'!CO8,'Pollas Fase de Grupos'!$CN$2,IF('Pollas Fase de Grupos'!CO8&gt;'Pollas Fase de Grupos'!CN8,'Pollas Fase de Grupos'!$CO$2,"EMPATE"))</f>
        <v>EMPATE</v>
      </c>
      <c r="CM8" s="85">
        <f>PUNTAJE_GANADORES('Pollas Fase de Grupos'!CN8,'Resultados Oficiales Fase de Gr'!$D$61,'Pollas Fase de Grupos'!CO8,'Resultados Oficiales Fase de Gr'!$E$61,CL8,'Resultados Oficiales Fase de Gr'!$G$61)</f>
        <v>0</v>
      </c>
      <c r="CN8" s="85" t="str">
        <f>IF('Pollas Fase de Grupos'!CP8&gt;'Pollas Fase de Grupos'!CQ8,'Pollas Fase de Grupos'!$CP$2,IF('Pollas Fase de Grupos'!CQ8&gt;'Pollas Fase de Grupos'!CP8,'Pollas Fase de Grupos'!$CQ$2,"EMPATE"))</f>
        <v>Ghana</v>
      </c>
      <c r="CO8" s="85">
        <f>PUNTAJE_GANADORES('Pollas Fase de Grupos'!CP8,'Resultados Oficiales Fase de Gr'!$D$62,'Pollas Fase de Grupos'!CQ8,'Resultados Oficiales Fase de Gr'!$E$62,CN8,'Resultados Oficiales Fase de Gr'!$G$62)</f>
        <v>2</v>
      </c>
      <c r="CP8" s="85" t="str">
        <f>IF('Pollas Fase de Grupos'!CR8&gt;'Pollas Fase de Grupos'!CS8,'Pollas Fase de Grupos'!$CR$2,IF('Pollas Fase de Grupos'!CS8&gt;'Pollas Fase de Grupos'!CR8,'Pollas Fase de Grupos'!$CS$2,"EMPATE"))</f>
        <v>Portugal</v>
      </c>
      <c r="CQ8" s="85">
        <f>PUNTAJE_GANADORES('Pollas Fase de Grupos'!CR8,'Resultados Oficiales Fase de Gr'!$D$63,'Pollas Fase de Grupos'!CS8,'Resultados Oficiales Fase de Gr'!$E$63,CP8,'Resultados Oficiales Fase de Gr'!$G$63)</f>
        <v>0</v>
      </c>
      <c r="CR8" s="85" t="str">
        <f>IF('Pollas Fase de Grupos'!CT8&gt;'Pollas Fase de Grupos'!CU8,'Pollas Fase de Grupos'!$CT$2,IF('Pollas Fase de Grupos'!CU8&gt;'Pollas Fase de Grupos'!CT8,'Pollas Fase de Grupos'!$CU$2,"EMPATE"))</f>
        <v>Uruguay</v>
      </c>
      <c r="CS8" s="85">
        <f>PUNTAJE_GANADORES('Pollas Fase de Grupos'!CT8,'Resultados Oficiales Fase de Gr'!$D$64,'Pollas Fase de Grupos'!CU8,'Resultados Oficiales Fase de Gr'!$E$64,CR8,'Resultados Oficiales Fase de Gr'!$G$64)</f>
        <v>3</v>
      </c>
      <c r="CT8" s="4">
        <f t="shared" si="1"/>
        <v>66</v>
      </c>
      <c r="CU8" s="17">
        <v>42.0</v>
      </c>
      <c r="CV8" s="3">
        <f t="shared" si="2"/>
        <v>68</v>
      </c>
    </row>
    <row r="9">
      <c r="A9" s="3" t="str">
        <f>'Pollas Fase de Grupos'!CV9</f>
        <v>Casa VIII</v>
      </c>
      <c r="B9" s="4" t="str">
        <f>IF('Pollas Fase de Grupos'!D9&gt;'Pollas Fase de Grupos'!E9,'Pollas Fase de Grupos'!$D$2,IF('Pollas Fase de Grupos'!E9&gt;'Pollas Fase de Grupos'!D9,'Pollas Fase de Grupos'!$E$2,"EMPATE"))</f>
        <v>Ecuador</v>
      </c>
      <c r="C9" s="4">
        <f>PUNTAJE_GANADORES('Pollas Fase de Grupos'!D9,'Resultados Oficiales Fase de Gr'!$D$3,'Pollas Fase de Grupos'!E9,'Resultados Oficiales Fase de Gr'!$E$3,B9,'Resultados Oficiales Fase de Gr'!$G$3)</f>
        <v>3</v>
      </c>
      <c r="D9" s="85" t="str">
        <f>IF('Pollas Fase de Grupos'!F9&gt;'Pollas Fase de Grupos'!G9,'Pollas Fase de Grupos'!$F$2,IF('Pollas Fase de Grupos'!G9&gt;'Pollas Fase de Grupos'!F9,'Pollas Fase de Grupos'!$G$2,"EMPATE"))</f>
        <v>Paises Bajos</v>
      </c>
      <c r="E9" s="4">
        <f>PUNTAJE_GANADORES('Pollas Fase de Grupos'!F9,'Resultados Oficiales Fase de Gr'!$D$4,'Pollas Fase de Grupos'!G9,'Resultados Oficiales Fase de Gr'!$E$4,D9,'Resultados Oficiales Fase de Gr'!$G$4)</f>
        <v>3</v>
      </c>
      <c r="F9" s="85" t="str">
        <f>IF('Pollas Fase de Grupos'!H9&gt;'Pollas Fase de Grupos'!I9,'Pollas Fase de Grupos'!$H$2,IF('Pollas Fase de Grupos'!I9&gt;'Pollas Fase de Grupos'!H9,'Pollas Fase de Grupos'!$I$2,"EMPATE"))</f>
        <v>Senegal</v>
      </c>
      <c r="G9" s="4">
        <f>PUNTAJE_GANADORES('Pollas Fase de Grupos'!H9,'Resultados Oficiales Fase de Gr'!$D$5,'Pollas Fase de Grupos'!I9,'Resultados Oficiales Fase de Gr'!$E$5,F9,'Resultados Oficiales Fase de Gr'!$G$5)</f>
        <v>2</v>
      </c>
      <c r="H9" s="85" t="str">
        <f>IF('Pollas Fase de Grupos'!J9&gt;'Pollas Fase de Grupos'!K9,'Pollas Fase de Grupos'!$J$2,IF('Pollas Fase de Grupos'!K9&gt;'Pollas Fase de Grupos'!J9,'Pollas Fase de Grupos'!$K$2,"EMPATE"))</f>
        <v>Paises Bajos</v>
      </c>
      <c r="I9" s="4">
        <f>PUNTAJE_GANADORES('Pollas Fase de Grupos'!J9,'Resultados Oficiales Fase de Gr'!$D$6,'Pollas Fase de Grupos'!K9,'Resultados Oficiales Fase de Gr'!$E$6,H9,'Resultados Oficiales Fase de Gr'!$G$6)</f>
        <v>1</v>
      </c>
      <c r="J9" s="85" t="str">
        <f>IF('Pollas Fase de Grupos'!L9&gt;'Pollas Fase de Grupos'!M9,'Pollas Fase de Grupos'!$L$2,IF('Pollas Fase de Grupos'!M9&gt;'Pollas Fase de Grupos'!L9,'Pollas Fase de Grupos'!$M$2,"EMPATE"))</f>
        <v>Paises Bajos</v>
      </c>
      <c r="K9" s="4">
        <f>PUNTAJE_GANADORES('Pollas Fase de Grupos'!L9,'Resultados Oficiales Fase de Gr'!$D$7,'Pollas Fase de Grupos'!M9,'Resultados Oficiales Fase de Gr'!$E$7,J9,'Resultados Oficiales Fase de Gr'!$G$7)</f>
        <v>3</v>
      </c>
      <c r="L9" s="85" t="str">
        <f>IF('Pollas Fase de Grupos'!N9&gt;'Pollas Fase de Grupos'!O9,'Pollas Fase de Grupos'!$N$2,IF('Pollas Fase de Grupos'!O9&gt;'Pollas Fase de Grupos'!N9,'Pollas Fase de Grupos'!$O$2,"EMPATE"))</f>
        <v>EMPATE</v>
      </c>
      <c r="M9" s="85">
        <f>PUNTAJE_GANADORES('Pollas Fase de Grupos'!N9,'Resultados Oficiales Fase de Gr'!$D$8,'Pollas Fase de Grupos'!O9,'Resultados Oficiales Fase de Gr'!$E$8,L9,'Resultados Oficiales Fase de Gr'!$G$8)</f>
        <v>1</v>
      </c>
      <c r="N9" s="85" t="str">
        <f>IF('Pollas Fase de Grupos'!P9&gt;'Pollas Fase de Grupos'!Q9,'Pollas Fase de Grupos'!$P$2,IF('Pollas Fase de Grupos'!Q9&gt;'Pollas Fase de Grupos'!P9,'Pollas Fase de Grupos'!$Q$2,"EMPATE"))</f>
        <v>Inglaterra</v>
      </c>
      <c r="O9" s="85">
        <f>PUNTAJE_GANADORES('Pollas Fase de Grupos'!P9,'Resultados Oficiales Fase de Gr'!$D$11,'Pollas Fase de Grupos'!Q9,'Resultados Oficiales Fase de Gr'!$E$11,N9,'Resultados Oficiales Fase de Gr'!$G$11)</f>
        <v>2</v>
      </c>
      <c r="P9" s="4" t="str">
        <f>IF('Pollas Fase de Grupos'!R9&gt;'Pollas Fase de Grupos'!S9,'Pollas Fase de Grupos'!$R$2,IF('Pollas Fase de Grupos'!S9&gt;'Pollas Fase de Grupos'!R9,'Pollas Fase de Grupos'!$S$2,"EMPATE"))</f>
        <v>Estados Unidos</v>
      </c>
      <c r="Q9" s="85">
        <f>PUNTAJE_GANADORES('Pollas Fase de Grupos'!R9,'Resultados Oficiales Fase de Gr'!$D$12,'Pollas Fase de Grupos'!S9,'Resultados Oficiales Fase de Gr'!$E$12,P9,'Resultados Oficiales Fase de Gr'!$G$12)</f>
        <v>1</v>
      </c>
      <c r="R9" s="85" t="str">
        <f>IF('Pollas Fase de Grupos'!T9&gt;'Pollas Fase de Grupos'!U9,'Pollas Fase de Grupos'!$T$2,IF('Pollas Fase de Grupos'!U9&gt;'Pollas Fase de Grupos'!T9,'Pollas Fase de Grupos'!$U$2,"EMPATE"))</f>
        <v>Inglaterra</v>
      </c>
      <c r="S9" s="4">
        <f>PUNTAJE_GANADORES('Pollas Fase de Grupos'!T9,'Resultados Oficiales Fase de Gr'!$D$13,'Pollas Fase de Grupos'!U9,'Resultados Oficiales Fase de Gr'!$E$13,R9,'Resultados Oficiales Fase de Gr'!$G$13)</f>
        <v>1</v>
      </c>
      <c r="T9" s="85" t="str">
        <f>IF('Pollas Fase de Grupos'!V9&gt;'Pollas Fase de Grupos'!W9,'Pollas Fase de Grupos'!$V$2,IF('Pollas Fase de Grupos'!W9&gt;'Pollas Fase de Grupos'!V9,'Pollas Fase de Grupos'!$W$2,"EMPATE"))</f>
        <v>Gales</v>
      </c>
      <c r="U9" s="86">
        <f>PUNTAJE_GANADORES('Pollas Fase de Grupos'!V9,'Resultados Oficiales Fase de Gr'!$D$14,'Pollas Fase de Grupos'!W9,'Resultados Oficiales Fase de Gr'!$E$14,T9,'Resultados Oficiales Fase de Gr'!$G$14)</f>
        <v>0</v>
      </c>
      <c r="V9" s="85" t="str">
        <f>IF('Pollas Fase de Grupos'!X9&gt;'Pollas Fase de Grupos'!Y9,'Pollas Fase de Grupos'!$X$2,IF('Pollas Fase de Grupos'!Y9&gt;'Pollas Fase de Grupos'!X9,'Pollas Fase de Grupos'!$Y$2,"EMPATE"))</f>
        <v>Inglaterra</v>
      </c>
      <c r="W9" s="85">
        <f>PUNTAJE_GANADORES('Pollas Fase de Grupos'!X9,'Resultados Oficiales Fase de Gr'!$D$15,'Pollas Fase de Grupos'!Y9,'Resultados Oficiales Fase de Gr'!$E$15,V9,'Resultados Oficiales Fase de Gr'!$G$15)</f>
        <v>2</v>
      </c>
      <c r="X9" s="85" t="str">
        <f>IF('Pollas Fase de Grupos'!Z9&gt;'Pollas Fase de Grupos'!AA9,'Pollas Fase de Grupos'!$Z$2,IF('Pollas Fase de Grupos'!AA9&gt;'Pollas Fase de Grupos'!Z9,'Pollas Fase de Grupos'!$AA$2,"EMPATE"))</f>
        <v>Estados Unidos</v>
      </c>
      <c r="Y9" s="87">
        <f>PUNTAJE_GANADORES('Pollas Fase de Grupos'!Z9,'Resultados Oficiales Fase de Gr'!$D$16,'Pollas Fase de Grupos'!AA9,'Resultados Oficiales Fase de Gr'!$E$16,X9,'Resultados Oficiales Fase de Gr'!$G$16)</f>
        <v>2</v>
      </c>
      <c r="Z9" s="85" t="str">
        <f>IF('Pollas Fase de Grupos'!AB9&gt;'Pollas Fase de Grupos'!AC9,'Pollas Fase de Grupos'!$AB$2,IF('Pollas Fase de Grupos'!AC9&gt;'Pollas Fase de Grupos'!AB9,'Pollas Fase de Grupos'!$AC$2,"EMPATE"))</f>
        <v>Argentina</v>
      </c>
      <c r="AA9" s="85">
        <f>PUNTAJE_GANADORES('Pollas Fase de Grupos'!AB9,'Resultados Oficiales Fase de Gr'!$D$19,'Pollas Fase de Grupos'!AC9,'Resultados Oficiales Fase de Gr'!$E$19,Z9,'Resultados Oficiales Fase de Gr'!$G$19)</f>
        <v>0</v>
      </c>
      <c r="AB9" s="85" t="str">
        <f>IF('Pollas Fase de Grupos'!AD9&gt;'Pollas Fase de Grupos'!AE9,'Pollas Fase de Grupos'!$AD$2,IF('Pollas Fase de Grupos'!AE9&gt;'Pollas Fase de Grupos'!AD9,'Pollas Fase de Grupos'!$AE$2,"EMPATE"))</f>
        <v>Mexico</v>
      </c>
      <c r="AC9" s="85">
        <f>PUNTAJE_GANADORES('Pollas Fase de Grupos'!AD9,'Resultados Oficiales Fase de Gr'!$D$20,'Pollas Fase de Grupos'!AE9,'Resultados Oficiales Fase de Gr'!$E$20,AB9,'Resultados Oficiales Fase de Gr'!$G$20)</f>
        <v>1</v>
      </c>
      <c r="AD9" s="85" t="str">
        <f>IF('Pollas Fase de Grupos'!AF9&gt;'Pollas Fase de Grupos'!AG9,'Pollas Fase de Grupos'!$AF$2,IF('Pollas Fase de Grupos'!AG9&gt;'Pollas Fase de Grupos'!AF9,'Pollas Fase de Grupos'!$AG$2,"EMPATE"))</f>
        <v>Argentina</v>
      </c>
      <c r="AE9" s="85">
        <f>PUNTAJE_GANADORES('Pollas Fase de Grupos'!AF9,'Resultados Oficiales Fase de Gr'!$D$21,'Pollas Fase de Grupos'!AG9,'Resultados Oficiales Fase de Gr'!$E$21,AD9,'Resultados Oficiales Fase de Gr'!$G$21)</f>
        <v>3</v>
      </c>
      <c r="AF9" s="85" t="str">
        <f>IF('Pollas Fase de Grupos'!AH9&gt;'Pollas Fase de Grupos'!AI9,'Pollas Fase de Grupos'!$AH$2,IF('Pollas Fase de Grupos'!AI9&gt;'Pollas Fase de Grupos'!AH9,'Pollas Fase de Grupos'!$AI$2,"EMPATE"))</f>
        <v>Polonia</v>
      </c>
      <c r="AG9" s="85">
        <f>PUNTAJE_GANADORES('Pollas Fase de Grupos'!AH9,'Resultados Oficiales Fase de Gr'!$D$22,'Pollas Fase de Grupos'!AI9,'Resultados Oficiales Fase de Gr'!$E$22,AF9,'Resultados Oficiales Fase de Gr'!$G$22)</f>
        <v>5</v>
      </c>
      <c r="AH9" s="85" t="str">
        <f>IF('Pollas Fase de Grupos'!AJ9&gt;'Pollas Fase de Grupos'!AK9,'Pollas Fase de Grupos'!$AJ$2,IF('Pollas Fase de Grupos'!AK9&gt;'Pollas Fase de Grupos'!AJ9,'Pollas Fase de Grupos'!$AK$2,"EMPATE"))</f>
        <v>Argentina</v>
      </c>
      <c r="AI9" s="85">
        <f>PUNTAJE_GANADORES('Pollas Fase de Grupos'!AJ9,'Resultados Oficiales Fase de Gr'!$D$23,'Pollas Fase de Grupos'!AK9,'Resultados Oficiales Fase de Gr'!$E$23,AH9,'Resultados Oficiales Fase de Gr'!$G$23)</f>
        <v>2</v>
      </c>
      <c r="AJ9" s="85" t="str">
        <f>IF('Pollas Fase de Grupos'!AL9&gt;'Pollas Fase de Grupos'!AM9,'Pollas Fase de Grupos'!$AL$2,IF('Pollas Fase de Grupos'!AM9&gt;'Pollas Fase de Grupos'!AL9,'Pollas Fase de Grupos'!$AM$2,"EMPATE"))</f>
        <v>Mexico</v>
      </c>
      <c r="AK9" s="85">
        <f>PUNTAJE_GANADORES('Pollas Fase de Grupos'!AL9,'Resultados Oficiales Fase de Gr'!$D$24,'Pollas Fase de Grupos'!AM9,'Resultados Oficiales Fase de Gr'!$E$24,AJ9,'Resultados Oficiales Fase de Gr'!$G$24)</f>
        <v>2</v>
      </c>
      <c r="AL9" s="85" t="str">
        <f>IF('Pollas Fase de Grupos'!AN9&gt;'Pollas Fase de Grupos'!AO9,'Pollas Fase de Grupos'!$AN$2,IF('Pollas Fase de Grupos'!AO9&gt;'Pollas Fase de Grupos'!AN9,'Pollas Fase de Grupos'!$AO$2,"EMPATE"))</f>
        <v>Francia</v>
      </c>
      <c r="AM9" s="85">
        <f>PUNTAJE_GANADORES('Pollas Fase de Grupos'!AN9,'Resultados Oficiales Fase de Gr'!$D$27,'Pollas Fase de Grupos'!AO9,'Resultados Oficiales Fase de Gr'!$E$27,AL9,'Resultados Oficiales Fase de Gr'!$G$27)</f>
        <v>2</v>
      </c>
      <c r="AN9" s="85" t="str">
        <f>IF('Pollas Fase de Grupos'!AP9&gt;'Pollas Fase de Grupos'!AQ9,'Pollas Fase de Grupos'!$AP$2,IF('Pollas Fase de Grupos'!AQ9&gt;'Pollas Fase de Grupos'!AP9,'Pollas Fase de Grupos'!$AQ$2,"EMPATE"))</f>
        <v>Dinamarca</v>
      </c>
      <c r="AO9" s="85">
        <f>PUNTAJE_GANADORES('Pollas Fase de Grupos'!AP9,'Resultados Oficiales Fase de Gr'!$D$28,'Pollas Fase de Grupos'!AQ9,'Resultados Oficiales Fase de Gr'!$E$28,AN9,'Resultados Oficiales Fase de Gr'!$G$28)</f>
        <v>1</v>
      </c>
      <c r="AP9" s="85" t="str">
        <f>IF('Pollas Fase de Grupos'!AR9&gt;'Pollas Fase de Grupos'!AS9,'Pollas Fase de Grupos'!$AR$2,IF('Pollas Fase de Grupos'!AS9&gt;'Pollas Fase de Grupos'!AR9,'Pollas Fase de Grupos'!$AS$2,"EMPATE"))</f>
        <v>Francia</v>
      </c>
      <c r="AQ9" s="85">
        <f>PUNTAJE_GANADORES('Pollas Fase de Grupos'!AR9,'Resultados Oficiales Fase de Gr'!$D$29,'Pollas Fase de Grupos'!AS9,'Resultados Oficiales Fase de Gr'!$E$29,AP9,'Resultados Oficiales Fase de Gr'!$G$29)</f>
        <v>5</v>
      </c>
      <c r="AR9" s="85" t="str">
        <f>IF('Pollas Fase de Grupos'!AT9&gt;'Pollas Fase de Grupos'!AU9,'Pollas Fase de Grupos'!$AT$2,IF('Pollas Fase de Grupos'!AU9&gt;'Pollas Fase de Grupos'!AT9,'Pollas Fase de Grupos'!$AU$2,"EMPATE"))</f>
        <v>EMPATE</v>
      </c>
      <c r="AS9" s="85">
        <f>PUNTAJE_GANADORES('Pollas Fase de Grupos'!AT9,'Resultados Oficiales Fase de Gr'!$D$30,'Pollas Fase de Grupos'!AU9,'Resultados Oficiales Fase de Gr'!$E$30,AR9,'Resultados Oficiales Fase de Gr'!$G$30)</f>
        <v>1</v>
      </c>
      <c r="AT9" s="85" t="str">
        <f>IF('Pollas Fase de Grupos'!AV9&gt;'Pollas Fase de Grupos'!AW9,'Pollas Fase de Grupos'!$AV$2,IF('Pollas Fase de Grupos'!AW9&gt;'Pollas Fase de Grupos'!AV9,'Pollas Fase de Grupos'!$AW$2,"EMPATE"))</f>
        <v>Francia</v>
      </c>
      <c r="AU9" s="85">
        <f>PUNTAJE_GANADORES('Pollas Fase de Grupos'!AV9,'Resultados Oficiales Fase de Gr'!$D$31,'Pollas Fase de Grupos'!AW9,'Resultados Oficiales Fase de Gr'!$E$31,AT9,'Resultados Oficiales Fase de Gr'!$G$31)</f>
        <v>0</v>
      </c>
      <c r="AV9" s="85" t="str">
        <f>IF('Pollas Fase de Grupos'!AX9&gt;'Pollas Fase de Grupos'!AY9,'Pollas Fase de Grupos'!$AX$2,IF('Pollas Fase de Grupos'!AY9&gt;'Pollas Fase de Grupos'!AX9,'Pollas Fase de Grupos'!$AY$2,"EMPATE"))</f>
        <v>EMPATE</v>
      </c>
      <c r="AW9" s="85">
        <f>PUNTAJE_GANADORES('Pollas Fase de Grupos'!AX9,'Resultados Oficiales Fase de Gr'!$D$32,'Pollas Fase de Grupos'!AY9,'Resultados Oficiales Fase de Gr'!$E$32,AV9,'Resultados Oficiales Fase de Gr'!$G$32)</f>
        <v>1</v>
      </c>
      <c r="AX9" s="85" t="str">
        <f>IF('Pollas Fase de Grupos'!AZ9&gt;'Pollas Fase de Grupos'!BA9,'Pollas Fase de Grupos'!$AZ$2,IF('Pollas Fase de Grupos'!BA9&gt;'Pollas Fase de Grupos'!AZ9,'Pollas Fase de Grupos'!$BA$2,"EMPATE"))</f>
        <v>España</v>
      </c>
      <c r="AY9" s="85">
        <f>PUNTAJE_GANADORES('Pollas Fase de Grupos'!AZ9,'Resultados Oficiales Fase de Gr'!$D$35,'Pollas Fase de Grupos'!BA9,'Resultados Oficiales Fase de Gr'!$E$35,AX9,'Resultados Oficiales Fase de Gr'!$G$35)</f>
        <v>0</v>
      </c>
      <c r="AZ9" s="85" t="str">
        <f>IF('Pollas Fase de Grupos'!BB9&gt;'Pollas Fase de Grupos'!BC9,'Pollas Fase de Grupos'!$BB$2,IF('Pollas Fase de Grupos'!BC9&gt;'Pollas Fase de Grupos'!BB9,'Pollas Fase de Grupos'!$BC$2,"EMPATE"))</f>
        <v>Alemania</v>
      </c>
      <c r="BA9" s="85">
        <f>PUNTAJE_GANADORES('Pollas Fase de Grupos'!BB9,'Resultados Oficiales Fase de Gr'!$D$36,'Pollas Fase de Grupos'!BC9,'Resultados Oficiales Fase de Gr'!$E$36,AZ9,'Resultados Oficiales Fase de Gr'!$G$36)</f>
        <v>0</v>
      </c>
      <c r="BB9" s="85" t="str">
        <f>IF('Pollas Fase de Grupos'!BD9&gt;'Pollas Fase de Grupos'!BE9,'Pollas Fase de Grupos'!$BD$2,IF('Pollas Fase de Grupos'!BE9&gt;'Pollas Fase de Grupos'!BD9,'Pollas Fase de Grupos'!$BE$2,"EMPATE"))</f>
        <v>Alemania</v>
      </c>
      <c r="BC9" s="85">
        <f>PUNTAJE_GANADORES('Pollas Fase de Grupos'!BD9,'Resultados Oficiales Fase de Gr'!$D$37,'Pollas Fase de Grupos'!BE9,'Resultados Oficiales Fase de Gr'!$E$37,BB9,'Resultados Oficiales Fase de Gr'!$G$37)</f>
        <v>1</v>
      </c>
      <c r="BD9" s="85" t="str">
        <f>IF('Pollas Fase de Grupos'!BF9&gt;'Pollas Fase de Grupos'!BG9,'Pollas Fase de Grupos'!$BF$2,IF('Pollas Fase de Grupos'!BG9&gt;'Pollas Fase de Grupos'!BF9,'Pollas Fase de Grupos'!$BG$2,"EMPATE"))</f>
        <v>Japon</v>
      </c>
      <c r="BE9" s="85">
        <f>PUNTAJE_GANADORES('Pollas Fase de Grupos'!BF9,'Resultados Oficiales Fase de Gr'!$D$38,'Pollas Fase de Grupos'!BG9,'Resultados Oficiales Fase de Gr'!$E$38,BD9,'Resultados Oficiales Fase de Gr'!$G$38)</f>
        <v>0</v>
      </c>
      <c r="BF9" s="85" t="str">
        <f>IF('Pollas Fase de Grupos'!BH9&gt;'Pollas Fase de Grupos'!BI9,'Pollas Fase de Grupos'!$BH$2,IF('Pollas Fase de Grupos'!BI9&gt;'Pollas Fase de Grupos'!BH9,'Pollas Fase de Grupos'!$BI$2,"EMPATE"))</f>
        <v>España</v>
      </c>
      <c r="BG9" s="85">
        <f>PUNTAJE_GANADORES('Pollas Fase de Grupos'!BH9,'Resultados Oficiales Fase de Gr'!$D$39,'Pollas Fase de Grupos'!BI9,'Resultados Oficiales Fase de Gr'!$E$39,BF9,'Resultados Oficiales Fase de Gr'!$G$39)</f>
        <v>0</v>
      </c>
      <c r="BH9" s="85" t="str">
        <f>IF('Pollas Fase de Grupos'!BJ9&gt;'Pollas Fase de Grupos'!BK9,'Pollas Fase de Grupos'!$BJ$2,IF('Pollas Fase de Grupos'!BK9&gt;'Pollas Fase de Grupos'!BJ9,'Pollas Fase de Grupos'!$BK$2,"EMPATE"))</f>
        <v>Alemania</v>
      </c>
      <c r="BI9" s="85">
        <f>PUNTAJE_GANADORES('Pollas Fase de Grupos'!BJ9,'Resultados Oficiales Fase de Gr'!$D$40,'Pollas Fase de Grupos'!BK9,'Resultados Oficiales Fase de Gr'!$E$40,BH9,'Resultados Oficiales Fase de Gr'!$G$40)</f>
        <v>2</v>
      </c>
      <c r="BJ9" s="85" t="str">
        <f>IF('Pollas Fase de Grupos'!BL9&gt;'Pollas Fase de Grupos'!BM9,'Pollas Fase de Grupos'!$BL$2,IF('Pollas Fase de Grupos'!BM9&gt;'Pollas Fase de Grupos'!BL9,'Pollas Fase de Grupos'!$BM$2,"EMPATE"))</f>
        <v>Belgica</v>
      </c>
      <c r="BK9" s="85">
        <f>PUNTAJE_GANADORES('Pollas Fase de Grupos'!BL9,'Resultados Oficiales Fase de Gr'!$D$43,'Pollas Fase de Grupos'!BM9,'Resultados Oficiales Fase de Gr'!$E$43,BJ9,'Resultados Oficiales Fase de Gr'!$G$43)</f>
        <v>3</v>
      </c>
      <c r="BL9" s="85" t="str">
        <f>IF('Pollas Fase de Grupos'!BN9&gt;'Pollas Fase de Grupos'!BO9,'Pollas Fase de Grupos'!$BN$2,IF('Pollas Fase de Grupos'!BO9&gt;'Pollas Fase de Grupos'!BN9,'Pollas Fase de Grupos'!$BO$2,"EMPATE"))</f>
        <v>Croacia</v>
      </c>
      <c r="BM9" s="85">
        <f>PUNTAJE_GANADORES('Pollas Fase de Grupos'!BN9,'Resultados Oficiales Fase de Gr'!$D$44,'Pollas Fase de Grupos'!BO9,'Resultados Oficiales Fase de Gr'!$E$44,BL9,'Resultados Oficiales Fase de Gr'!$G$44)</f>
        <v>1</v>
      </c>
      <c r="BN9" s="85" t="str">
        <f>IF('Pollas Fase de Grupos'!BP9&gt;'Pollas Fase de Grupos'!BQ9,'Pollas Fase de Grupos'!$BP$2,IF('Pollas Fase de Grupos'!BQ9&gt;'Pollas Fase de Grupos'!BP9,'Pollas Fase de Grupos'!$BQ$2,"EMPATE"))</f>
        <v>Belgica</v>
      </c>
      <c r="BO9" s="85">
        <f>PUNTAJE_GANADORES('Pollas Fase de Grupos'!BP9,'Resultados Oficiales Fase de Gr'!$D$45,'Pollas Fase de Grupos'!BQ9,'Resultados Oficiales Fase de Gr'!$E$45,BN9,'Resultados Oficiales Fase de Gr'!$G$45)</f>
        <v>0</v>
      </c>
      <c r="BP9" s="85" t="str">
        <f>IF('Pollas Fase de Grupos'!BR9&gt;'Pollas Fase de Grupos'!BS9,'Pollas Fase de Grupos'!$BR$2,IF('Pollas Fase de Grupos'!BS9&gt;'Pollas Fase de Grupos'!BR9,'Pollas Fase de Grupos'!$BS$2,"EMPATE"))</f>
        <v>Croacia</v>
      </c>
      <c r="BQ9" s="85">
        <f>PUNTAJE_GANADORES('Pollas Fase de Grupos'!BR9,'Resultados Oficiales Fase de Gr'!$D$46,'Pollas Fase de Grupos'!BS9,'Resultados Oficiales Fase de Gr'!$E$46,BP9,'Resultados Oficiales Fase de Gr'!$G$46)</f>
        <v>2</v>
      </c>
      <c r="BR9" s="85" t="str">
        <f>IF('Pollas Fase de Grupos'!BT9&gt;'Pollas Fase de Grupos'!BU9,'Pollas Fase de Grupos'!$BT$2,IF('Pollas Fase de Grupos'!BU9&gt;'Pollas Fase de Grupos'!BT9,'Pollas Fase de Grupos'!$BU$2,"EMPATE"))</f>
        <v>EMPATE</v>
      </c>
      <c r="BS9" s="85">
        <f>PUNTAJE_GANADORES('Pollas Fase de Grupos'!BT9,'Resultados Oficiales Fase de Gr'!$D$47,'Pollas Fase de Grupos'!BU9,'Resultados Oficiales Fase de Gr'!$E$47,BR9,'Resultados Oficiales Fase de Gr'!$G$47)</f>
        <v>1</v>
      </c>
      <c r="BT9" s="85" t="str">
        <f>IF('Pollas Fase de Grupos'!BV9&gt;'Pollas Fase de Grupos'!BW9,'Pollas Fase de Grupos'!$BV$2,IF('Pollas Fase de Grupos'!BW9&gt;'Pollas Fase de Grupos'!BV9,'Pollas Fase de Grupos'!$BW$2,"EMPATE"))</f>
        <v>Marruecos</v>
      </c>
      <c r="BU9" s="85">
        <f>PUNTAJE_GANADORES('Pollas Fase de Grupos'!BV9,'Resultados Oficiales Fase de Gr'!$D$48,'Pollas Fase de Grupos'!BW9,'Resultados Oficiales Fase de Gr'!$E$48,BT9,'Resultados Oficiales Fase de Gr'!$G$48)</f>
        <v>2</v>
      </c>
      <c r="BV9" s="85" t="str">
        <f>IF('Pollas Fase de Grupos'!BX9&gt;'Pollas Fase de Grupos'!BY9,'Pollas Fase de Grupos'!$BX$2,IF('Pollas Fase de Grupos'!BY9&gt;'Pollas Fase de Grupos'!BX9,'Pollas Fase de Grupos'!$BY$2,"EMPATE"))</f>
        <v>Brasil</v>
      </c>
      <c r="BW9" s="85">
        <f>PUNTAJE_GANADORES('Pollas Fase de Grupos'!BX9,'Resultados Oficiales Fase de Gr'!$D$51,'Pollas Fase de Grupos'!BY9,'Resultados Oficiales Fase de Gr'!$E$51,BV9,'Resultados Oficiales Fase de Gr'!$G$51)</f>
        <v>3</v>
      </c>
      <c r="BX9" s="85" t="str">
        <f>IF('Pollas Fase de Grupos'!BZ9&gt;'Pollas Fase de Grupos'!CA9,'Pollas Fase de Grupos'!$BZ$2,IF('Pollas Fase de Grupos'!CA9&gt;'Pollas Fase de Grupos'!BZ9,'Pollas Fase de Grupos'!$CA$2,"EMPATE"))</f>
        <v>Camerun</v>
      </c>
      <c r="BY9" s="85">
        <f>PUNTAJE_GANADORES('Pollas Fase de Grupos'!BZ9,'Resultados Oficiales Fase de Gr'!$D$52,'Pollas Fase de Grupos'!CA9,'Resultados Oficiales Fase de Gr'!$E$52,BX9,'Resultados Oficiales Fase de Gr'!$G$52)</f>
        <v>0</v>
      </c>
      <c r="BZ9" s="85" t="str">
        <f>IF('Pollas Fase de Grupos'!CB9&gt;'Pollas Fase de Grupos'!CC9,'Pollas Fase de Grupos'!$CB$2,IF('Pollas Fase de Grupos'!CC9&gt;'Pollas Fase de Grupos'!CB9,'Pollas Fase de Grupos'!$CC$2,"EMPATE"))</f>
        <v>Brasil</v>
      </c>
      <c r="CA9" s="85">
        <f>PUNTAJE_GANADORES('Pollas Fase de Grupos'!CB9,'Resultados Oficiales Fase de Gr'!$D$53,'Pollas Fase de Grupos'!CC9,'Resultados Oficiales Fase de Gr'!$E$53,BZ9,'Resultados Oficiales Fase de Gr'!$G$53)</f>
        <v>3</v>
      </c>
      <c r="CB9" s="85" t="str">
        <f>IF('Pollas Fase de Grupos'!CD9&gt;'Pollas Fase de Grupos'!CE9,'Pollas Fase de Grupos'!$CD$2,IF('Pollas Fase de Grupos'!CE9&gt;'Pollas Fase de Grupos'!CD9,'Pollas Fase de Grupos'!$CE$2,"EMPATE"))</f>
        <v>Camerun</v>
      </c>
      <c r="CC9" s="85">
        <f>PUNTAJE_GANADORES('Pollas Fase de Grupos'!CD9,'Resultados Oficiales Fase de Gr'!$D$54,'Pollas Fase de Grupos'!CE9,'Resultados Oficiales Fase de Gr'!$E$54,CB9,'Resultados Oficiales Fase de Gr'!$G$54)</f>
        <v>0</v>
      </c>
      <c r="CD9" s="85" t="str">
        <f>IF('Pollas Fase de Grupos'!CF9&gt;'Pollas Fase de Grupos'!CG9,'Pollas Fase de Grupos'!$CF$2,IF('Pollas Fase de Grupos'!CG9&gt;'Pollas Fase de Grupos'!CF9,'Pollas Fase de Grupos'!$CG$2,"EMPATE"))</f>
        <v>Brasil</v>
      </c>
      <c r="CE9" s="85">
        <f>PUNTAJE_GANADORES('Pollas Fase de Grupos'!CF9,'Resultados Oficiales Fase de Gr'!$D$55,'Pollas Fase de Grupos'!CG9,'Resultados Oficiales Fase de Gr'!$E$55,CD9,'Resultados Oficiales Fase de Gr'!$G$55)</f>
        <v>1</v>
      </c>
      <c r="CF9" s="85" t="str">
        <f>IF('Pollas Fase de Grupos'!CH9&gt;'Pollas Fase de Grupos'!CI9,'Pollas Fase de Grupos'!$CH$2,IF('Pollas Fase de Grupos'!CI9&gt;'Pollas Fase de Grupos'!CH9,'Pollas Fase de Grupos'!$CI$2,"EMPATE"))</f>
        <v>EMPATE</v>
      </c>
      <c r="CG9" s="85">
        <f>PUNTAJE_GANADORES('Pollas Fase de Grupos'!CH9,'Resultados Oficiales Fase de Gr'!$D$56,'Pollas Fase de Grupos'!CI9,'Resultados Oficiales Fase de Gr'!$E$56,CF9,'Resultados Oficiales Fase de Gr'!$G$56)</f>
        <v>0</v>
      </c>
      <c r="CH9" s="85" t="str">
        <f>IF('Pollas Fase de Grupos'!CJ9&gt;'Pollas Fase de Grupos'!CK9,'Pollas Fase de Grupos'!$CJ$2,IF('Pollas Fase de Grupos'!CK9&gt;'Pollas Fase de Grupos'!CJ9,'Pollas Fase de Grupos'!$CK$2,"EMPATE"))</f>
        <v>Portugal</v>
      </c>
      <c r="CI9" s="85">
        <f>PUNTAJE_GANADORES('Pollas Fase de Grupos'!CJ9,'Resultados Oficiales Fase de Gr'!$D$59,'Pollas Fase de Grupos'!CK9,'Resultados Oficiales Fase de Gr'!$E$59,CH9,'Resultados Oficiales Fase de Gr'!$G$59)</f>
        <v>2</v>
      </c>
      <c r="CJ9" s="85" t="str">
        <f>IF('Pollas Fase de Grupos'!CL9&gt;'Pollas Fase de Grupos'!CM9,'Pollas Fase de Grupos'!$CL$2,IF('Pollas Fase de Grupos'!CM9&gt;'Pollas Fase de Grupos'!CL9,'Pollas Fase de Grupos'!$CM$2,"EMPATE"))</f>
        <v>Uruguay</v>
      </c>
      <c r="CK9" s="85">
        <f>PUNTAJE_GANADORES('Pollas Fase de Grupos'!CL9,'Resultados Oficiales Fase de Gr'!$D$60,'Pollas Fase de Grupos'!CM9,'Resultados Oficiales Fase de Gr'!$E$60,CJ9,'Resultados Oficiales Fase de Gr'!$G$60)</f>
        <v>1</v>
      </c>
      <c r="CL9" s="85" t="str">
        <f>IF('Pollas Fase de Grupos'!CN9&gt;'Pollas Fase de Grupos'!CO9,'Pollas Fase de Grupos'!$CN$2,IF('Pollas Fase de Grupos'!CO9&gt;'Pollas Fase de Grupos'!CN9,'Pollas Fase de Grupos'!$CO$2,"EMPATE"))</f>
        <v>Portugal</v>
      </c>
      <c r="CM9" s="85">
        <f>PUNTAJE_GANADORES('Pollas Fase de Grupos'!CN9,'Resultados Oficiales Fase de Gr'!$D$61,'Pollas Fase de Grupos'!CO9,'Resultados Oficiales Fase de Gr'!$E$61,CL9,'Resultados Oficiales Fase de Gr'!$G$61)</f>
        <v>3</v>
      </c>
      <c r="CN9" s="85" t="str">
        <f>IF('Pollas Fase de Grupos'!CP9&gt;'Pollas Fase de Grupos'!CQ9,'Pollas Fase de Grupos'!$CP$2,IF('Pollas Fase de Grupos'!CQ9&gt;'Pollas Fase de Grupos'!CP9,'Pollas Fase de Grupos'!$CQ$2,"EMPATE"))</f>
        <v>EMPATE</v>
      </c>
      <c r="CO9" s="85">
        <f>PUNTAJE_GANADORES('Pollas Fase de Grupos'!CP9,'Resultados Oficiales Fase de Gr'!$D$62,'Pollas Fase de Grupos'!CQ9,'Resultados Oficiales Fase de Gr'!$E$62,CN9,'Resultados Oficiales Fase de Gr'!$G$62)</f>
        <v>0</v>
      </c>
      <c r="CP9" s="85" t="str">
        <f>IF('Pollas Fase de Grupos'!CR9&gt;'Pollas Fase de Grupos'!CS9,'Pollas Fase de Grupos'!$CR$2,IF('Pollas Fase de Grupos'!CS9&gt;'Pollas Fase de Grupos'!CR9,'Pollas Fase de Grupos'!$CS$2,"EMPATE"))</f>
        <v>Portugal</v>
      </c>
      <c r="CQ9" s="85">
        <f>PUNTAJE_GANADORES('Pollas Fase de Grupos'!CR9,'Resultados Oficiales Fase de Gr'!$D$63,'Pollas Fase de Grupos'!CS9,'Resultados Oficiales Fase de Gr'!$E$63,CP9,'Resultados Oficiales Fase de Gr'!$G$63)</f>
        <v>0</v>
      </c>
      <c r="CR9" s="85" t="str">
        <f>IF('Pollas Fase de Grupos'!CT9&gt;'Pollas Fase de Grupos'!CU9,'Pollas Fase de Grupos'!$CT$2,IF('Pollas Fase de Grupos'!CU9&gt;'Pollas Fase de Grupos'!CT9,'Pollas Fase de Grupos'!$CU$2,"EMPATE"))</f>
        <v>Uruguay</v>
      </c>
      <c r="CS9" s="85">
        <f>PUNTAJE_GANADORES('Pollas Fase de Grupos'!CT9,'Resultados Oficiales Fase de Gr'!$D$64,'Pollas Fase de Grupos'!CU9,'Resultados Oficiales Fase de Gr'!$E$64,CR9,'Resultados Oficiales Fase de Gr'!$G$64)</f>
        <v>3</v>
      </c>
      <c r="CT9" s="4">
        <f t="shared" si="1"/>
        <v>72</v>
      </c>
      <c r="CU9" s="17">
        <v>53.0</v>
      </c>
      <c r="CV9" s="3">
        <f t="shared" si="2"/>
        <v>75</v>
      </c>
    </row>
    <row r="10">
      <c r="A10" s="3" t="str">
        <f>'Pollas Fase de Grupos'!CV10</f>
        <v>Luis Fermin Naranjo Artehourtua</v>
      </c>
      <c r="B10" s="4" t="str">
        <f>IF('Pollas Fase de Grupos'!D10&gt;'Pollas Fase de Grupos'!E10,'Pollas Fase de Grupos'!$D$2,IF('Pollas Fase de Grupos'!E10&gt;'Pollas Fase de Grupos'!D10,'Pollas Fase de Grupos'!$E$2,"EMPATE"))</f>
        <v>Qatar</v>
      </c>
      <c r="C10" s="4">
        <f>PUNTAJE_GANADORES('Pollas Fase de Grupos'!D10,'Resultados Oficiales Fase de Gr'!$D$3,'Pollas Fase de Grupos'!E10,'Resultados Oficiales Fase de Gr'!$E$3,B10,'Resultados Oficiales Fase de Gr'!$G$3)</f>
        <v>0</v>
      </c>
      <c r="D10" s="85" t="str">
        <f>IF('Pollas Fase de Grupos'!F10&gt;'Pollas Fase de Grupos'!G10,'Pollas Fase de Grupos'!$F$2,IF('Pollas Fase de Grupos'!G10&gt;'Pollas Fase de Grupos'!F10,'Pollas Fase de Grupos'!$G$2,"EMPATE"))</f>
        <v>Paises Bajos</v>
      </c>
      <c r="E10" s="4">
        <f>PUNTAJE_GANADORES('Pollas Fase de Grupos'!F10,'Resultados Oficiales Fase de Gr'!$D$4,'Pollas Fase de Grupos'!G10,'Resultados Oficiales Fase de Gr'!$E$4,D10,'Resultados Oficiales Fase de Gr'!$G$4)</f>
        <v>3</v>
      </c>
      <c r="F10" s="85" t="str">
        <f>IF('Pollas Fase de Grupos'!H10&gt;'Pollas Fase de Grupos'!I10,'Pollas Fase de Grupos'!$H$2,IF('Pollas Fase de Grupos'!I10&gt;'Pollas Fase de Grupos'!H10,'Pollas Fase de Grupos'!$I$2,"EMPATE"))</f>
        <v>Qatar</v>
      </c>
      <c r="G10" s="4">
        <f>PUNTAJE_GANADORES('Pollas Fase de Grupos'!H10,'Resultados Oficiales Fase de Gr'!$D$5,'Pollas Fase de Grupos'!I10,'Resultados Oficiales Fase de Gr'!$E$5,F10,'Resultados Oficiales Fase de Gr'!$G$5)</f>
        <v>0</v>
      </c>
      <c r="H10" s="85" t="str">
        <f>IF('Pollas Fase de Grupos'!J10&gt;'Pollas Fase de Grupos'!K10,'Pollas Fase de Grupos'!$J$2,IF('Pollas Fase de Grupos'!K10&gt;'Pollas Fase de Grupos'!J10,'Pollas Fase de Grupos'!$K$2,"EMPATE"))</f>
        <v>Paises Bajos</v>
      </c>
      <c r="I10" s="4">
        <f>PUNTAJE_GANADORES('Pollas Fase de Grupos'!J10,'Resultados Oficiales Fase de Gr'!$D$6,'Pollas Fase de Grupos'!K10,'Resultados Oficiales Fase de Gr'!$E$6,H10,'Resultados Oficiales Fase de Gr'!$G$6)</f>
        <v>1</v>
      </c>
      <c r="J10" s="85" t="str">
        <f>IF('Pollas Fase de Grupos'!L10&gt;'Pollas Fase de Grupos'!M10,'Pollas Fase de Grupos'!$L$2,IF('Pollas Fase de Grupos'!M10&gt;'Pollas Fase de Grupos'!L10,'Pollas Fase de Grupos'!$M$2,"EMPATE"))</f>
        <v>Paises Bajos</v>
      </c>
      <c r="K10" s="4">
        <f>PUNTAJE_GANADORES('Pollas Fase de Grupos'!L10,'Resultados Oficiales Fase de Gr'!$D$7,'Pollas Fase de Grupos'!M10,'Resultados Oficiales Fase de Gr'!$E$7,J10,'Resultados Oficiales Fase de Gr'!$G$7)</f>
        <v>5</v>
      </c>
      <c r="L10" s="85" t="str">
        <f>IF('Pollas Fase de Grupos'!N10&gt;'Pollas Fase de Grupos'!O10,'Pollas Fase de Grupos'!$N$2,IF('Pollas Fase de Grupos'!O10&gt;'Pollas Fase de Grupos'!N10,'Pollas Fase de Grupos'!$O$2,"EMPATE"))</f>
        <v>Ecuador</v>
      </c>
      <c r="M10" s="85">
        <f>PUNTAJE_GANADORES('Pollas Fase de Grupos'!N10,'Resultados Oficiales Fase de Gr'!$D$8,'Pollas Fase de Grupos'!O10,'Resultados Oficiales Fase de Gr'!$E$8,L10,'Resultados Oficiales Fase de Gr'!$G$8)</f>
        <v>0</v>
      </c>
      <c r="N10" s="85" t="str">
        <f>IF('Pollas Fase de Grupos'!P10&gt;'Pollas Fase de Grupos'!Q10,'Pollas Fase de Grupos'!$P$2,IF('Pollas Fase de Grupos'!Q10&gt;'Pollas Fase de Grupos'!P10,'Pollas Fase de Grupos'!$Q$2,"EMPATE"))</f>
        <v>Inglaterra</v>
      </c>
      <c r="O10" s="85">
        <f>PUNTAJE_GANADORES('Pollas Fase de Grupos'!P10,'Resultados Oficiales Fase de Gr'!$D$11,'Pollas Fase de Grupos'!Q10,'Resultados Oficiales Fase de Gr'!$E$11,N10,'Resultados Oficiales Fase de Gr'!$G$11)</f>
        <v>2</v>
      </c>
      <c r="P10" s="4" t="str">
        <f>IF('Pollas Fase de Grupos'!R10&gt;'Pollas Fase de Grupos'!S10,'Pollas Fase de Grupos'!$R$2,IF('Pollas Fase de Grupos'!S10&gt;'Pollas Fase de Grupos'!R10,'Pollas Fase de Grupos'!$S$2,"EMPATE"))</f>
        <v>EMPATE</v>
      </c>
      <c r="Q10" s="85">
        <f>PUNTAJE_GANADORES('Pollas Fase de Grupos'!R10,'Resultados Oficiales Fase de Gr'!$D$12,'Pollas Fase de Grupos'!S10,'Resultados Oficiales Fase de Gr'!$E$12,P10,'Resultados Oficiales Fase de Gr'!$G$12)</f>
        <v>5</v>
      </c>
      <c r="R10" s="85" t="str">
        <f>IF('Pollas Fase de Grupos'!T10&gt;'Pollas Fase de Grupos'!U10,'Pollas Fase de Grupos'!$T$2,IF('Pollas Fase de Grupos'!U10&gt;'Pollas Fase de Grupos'!T10,'Pollas Fase de Grupos'!$U$2,"EMPATE"))</f>
        <v>Inglaterra</v>
      </c>
      <c r="S10" s="4">
        <f>PUNTAJE_GANADORES('Pollas Fase de Grupos'!T10,'Resultados Oficiales Fase de Gr'!$D$13,'Pollas Fase de Grupos'!U10,'Resultados Oficiales Fase de Gr'!$E$13,R10,'Resultados Oficiales Fase de Gr'!$G$13)</f>
        <v>0</v>
      </c>
      <c r="T10" s="85" t="str">
        <f>IF('Pollas Fase de Grupos'!V10&gt;'Pollas Fase de Grupos'!W10,'Pollas Fase de Grupos'!$V$2,IF('Pollas Fase de Grupos'!W10&gt;'Pollas Fase de Grupos'!V10,'Pollas Fase de Grupos'!$W$2,"EMPATE"))</f>
        <v>Gales</v>
      </c>
      <c r="U10" s="86">
        <f>PUNTAJE_GANADORES('Pollas Fase de Grupos'!V10,'Resultados Oficiales Fase de Gr'!$D$14,'Pollas Fase de Grupos'!W10,'Resultados Oficiales Fase de Gr'!$E$14,T10,'Resultados Oficiales Fase de Gr'!$G$14)</f>
        <v>0</v>
      </c>
      <c r="V10" s="85" t="str">
        <f>IF('Pollas Fase de Grupos'!X10&gt;'Pollas Fase de Grupos'!Y10,'Pollas Fase de Grupos'!$X$2,IF('Pollas Fase de Grupos'!Y10&gt;'Pollas Fase de Grupos'!X10,'Pollas Fase de Grupos'!$Y$2,"EMPATE"))</f>
        <v>Inglaterra</v>
      </c>
      <c r="W10" s="85">
        <f>PUNTAJE_GANADORES('Pollas Fase de Grupos'!X10,'Resultados Oficiales Fase de Gr'!$D$15,'Pollas Fase de Grupos'!Y10,'Resultados Oficiales Fase de Gr'!$E$15,V10,'Resultados Oficiales Fase de Gr'!$G$15)</f>
        <v>2</v>
      </c>
      <c r="X10" s="85" t="str">
        <f>IF('Pollas Fase de Grupos'!Z10&gt;'Pollas Fase de Grupos'!AA10,'Pollas Fase de Grupos'!$Z$2,IF('Pollas Fase de Grupos'!AA10&gt;'Pollas Fase de Grupos'!Z10,'Pollas Fase de Grupos'!$AA$2,"EMPATE"))</f>
        <v>Estados Unidos</v>
      </c>
      <c r="Y10" s="87">
        <f>PUNTAJE_GANADORES('Pollas Fase de Grupos'!Z10,'Resultados Oficiales Fase de Gr'!$D$16,'Pollas Fase de Grupos'!AA10,'Resultados Oficiales Fase de Gr'!$E$16,X10,'Resultados Oficiales Fase de Gr'!$G$16)</f>
        <v>5</v>
      </c>
      <c r="Z10" s="85" t="str">
        <f>IF('Pollas Fase de Grupos'!AB10&gt;'Pollas Fase de Grupos'!AC10,'Pollas Fase de Grupos'!$AB$2,IF('Pollas Fase de Grupos'!AC10&gt;'Pollas Fase de Grupos'!AB10,'Pollas Fase de Grupos'!$AC$2,"EMPATE"))</f>
        <v>Argentina</v>
      </c>
      <c r="AA10" s="85">
        <f>PUNTAJE_GANADORES('Pollas Fase de Grupos'!AB10,'Resultados Oficiales Fase de Gr'!$D$19,'Pollas Fase de Grupos'!AC10,'Resultados Oficiales Fase de Gr'!$E$19,Z10,'Resultados Oficiales Fase de Gr'!$G$19)</f>
        <v>0</v>
      </c>
      <c r="AB10" s="85" t="str">
        <f>IF('Pollas Fase de Grupos'!AD10&gt;'Pollas Fase de Grupos'!AE10,'Pollas Fase de Grupos'!$AD$2,IF('Pollas Fase de Grupos'!AE10&gt;'Pollas Fase de Grupos'!AD10,'Pollas Fase de Grupos'!$AE$2,"EMPATE"))</f>
        <v>Polonia</v>
      </c>
      <c r="AC10" s="85">
        <f>PUNTAJE_GANADORES('Pollas Fase de Grupos'!AD10,'Resultados Oficiales Fase de Gr'!$D$20,'Pollas Fase de Grupos'!AE10,'Resultados Oficiales Fase de Gr'!$E$20,AB10,'Resultados Oficiales Fase de Gr'!$G$20)</f>
        <v>0</v>
      </c>
      <c r="AD10" s="85" t="str">
        <f>IF('Pollas Fase de Grupos'!AF10&gt;'Pollas Fase de Grupos'!AG10,'Pollas Fase de Grupos'!$AF$2,IF('Pollas Fase de Grupos'!AG10&gt;'Pollas Fase de Grupos'!AF10,'Pollas Fase de Grupos'!$AG$2,"EMPATE"))</f>
        <v>Argentina</v>
      </c>
      <c r="AE10" s="85">
        <f>PUNTAJE_GANADORES('Pollas Fase de Grupos'!AF10,'Resultados Oficiales Fase de Gr'!$D$21,'Pollas Fase de Grupos'!AG10,'Resultados Oficiales Fase de Gr'!$E$21,AD10,'Resultados Oficiales Fase de Gr'!$G$21)</f>
        <v>2</v>
      </c>
      <c r="AF10" s="85" t="str">
        <f>IF('Pollas Fase de Grupos'!AH10&gt;'Pollas Fase de Grupos'!AI10,'Pollas Fase de Grupos'!$AH$2,IF('Pollas Fase de Grupos'!AI10&gt;'Pollas Fase de Grupos'!AH10,'Pollas Fase de Grupos'!$AI$2,"EMPATE"))</f>
        <v>Polonia</v>
      </c>
      <c r="AG10" s="85">
        <f>PUNTAJE_GANADORES('Pollas Fase de Grupos'!AH10,'Resultados Oficiales Fase de Gr'!$D$22,'Pollas Fase de Grupos'!AI10,'Resultados Oficiales Fase de Gr'!$E$22,AF10,'Resultados Oficiales Fase de Gr'!$G$22)</f>
        <v>2</v>
      </c>
      <c r="AH10" s="85" t="str">
        <f>IF('Pollas Fase de Grupos'!AJ10&gt;'Pollas Fase de Grupos'!AK10,'Pollas Fase de Grupos'!$AJ$2,IF('Pollas Fase de Grupos'!AK10&gt;'Pollas Fase de Grupos'!AJ10,'Pollas Fase de Grupos'!$AK$2,"EMPATE"))</f>
        <v>EMPATE</v>
      </c>
      <c r="AI10" s="85">
        <f>PUNTAJE_GANADORES('Pollas Fase de Grupos'!AJ10,'Resultados Oficiales Fase de Gr'!$D$23,'Pollas Fase de Grupos'!AK10,'Resultados Oficiales Fase de Gr'!$E$23,AH10,'Resultados Oficiales Fase de Gr'!$G$23)</f>
        <v>1</v>
      </c>
      <c r="AJ10" s="85" t="str">
        <f>IF('Pollas Fase de Grupos'!AL10&gt;'Pollas Fase de Grupos'!AM10,'Pollas Fase de Grupos'!$AL$2,IF('Pollas Fase de Grupos'!AM10&gt;'Pollas Fase de Grupos'!AL10,'Pollas Fase de Grupos'!$AM$2,"EMPATE"))</f>
        <v>Mexico</v>
      </c>
      <c r="AK10" s="85">
        <f>PUNTAJE_GANADORES('Pollas Fase de Grupos'!AL10,'Resultados Oficiales Fase de Gr'!$D$24,'Pollas Fase de Grupos'!AM10,'Resultados Oficiales Fase de Gr'!$E$24,AJ10,'Resultados Oficiales Fase de Gr'!$G$24)</f>
        <v>3</v>
      </c>
      <c r="AL10" s="85" t="str">
        <f>IF('Pollas Fase de Grupos'!AN10&gt;'Pollas Fase de Grupos'!AO10,'Pollas Fase de Grupos'!$AN$2,IF('Pollas Fase de Grupos'!AO10&gt;'Pollas Fase de Grupos'!AN10,'Pollas Fase de Grupos'!$AO$2,"EMPATE"))</f>
        <v>Francia</v>
      </c>
      <c r="AM10" s="85">
        <f>PUNTAJE_GANADORES('Pollas Fase de Grupos'!AN10,'Resultados Oficiales Fase de Gr'!$D$27,'Pollas Fase de Grupos'!AO10,'Resultados Oficiales Fase de Gr'!$E$27,AL10,'Resultados Oficiales Fase de Gr'!$G$27)</f>
        <v>2</v>
      </c>
      <c r="AN10" s="85" t="str">
        <f>IF('Pollas Fase de Grupos'!AP10&gt;'Pollas Fase de Grupos'!AQ10,'Pollas Fase de Grupos'!$AP$2,IF('Pollas Fase de Grupos'!AQ10&gt;'Pollas Fase de Grupos'!AP10,'Pollas Fase de Grupos'!$AQ$2,"EMPATE"))</f>
        <v>Dinamarca</v>
      </c>
      <c r="AO10" s="85">
        <f>PUNTAJE_GANADORES('Pollas Fase de Grupos'!AP10,'Resultados Oficiales Fase de Gr'!$D$28,'Pollas Fase de Grupos'!AQ10,'Resultados Oficiales Fase de Gr'!$E$28,AN10,'Resultados Oficiales Fase de Gr'!$G$28)</f>
        <v>0</v>
      </c>
      <c r="AP10" s="85" t="str">
        <f>IF('Pollas Fase de Grupos'!AR10&gt;'Pollas Fase de Grupos'!AS10,'Pollas Fase de Grupos'!$AR$2,IF('Pollas Fase de Grupos'!AS10&gt;'Pollas Fase de Grupos'!AR10,'Pollas Fase de Grupos'!$AS$2,"EMPATE"))</f>
        <v>Francia</v>
      </c>
      <c r="AQ10" s="85">
        <f>PUNTAJE_GANADORES('Pollas Fase de Grupos'!AR10,'Resultados Oficiales Fase de Gr'!$D$29,'Pollas Fase de Grupos'!AS10,'Resultados Oficiales Fase de Gr'!$E$29,AP10,'Resultados Oficiales Fase de Gr'!$G$29)</f>
        <v>5</v>
      </c>
      <c r="AR10" s="85" t="str">
        <f>IF('Pollas Fase de Grupos'!AT10&gt;'Pollas Fase de Grupos'!AU10,'Pollas Fase de Grupos'!$AT$2,IF('Pollas Fase de Grupos'!AU10&gt;'Pollas Fase de Grupos'!AT10,'Pollas Fase de Grupos'!$AU$2,"EMPATE"))</f>
        <v>Tunez</v>
      </c>
      <c r="AS10" s="85">
        <f>PUNTAJE_GANADORES('Pollas Fase de Grupos'!AT10,'Resultados Oficiales Fase de Gr'!$D$30,'Pollas Fase de Grupos'!AU10,'Resultados Oficiales Fase de Gr'!$E$30,AR10,'Resultados Oficiales Fase de Gr'!$G$30)</f>
        <v>0</v>
      </c>
      <c r="AT10" s="85" t="str">
        <f>IF('Pollas Fase de Grupos'!AV10&gt;'Pollas Fase de Grupos'!AW10,'Pollas Fase de Grupos'!$AV$2,IF('Pollas Fase de Grupos'!AW10&gt;'Pollas Fase de Grupos'!AV10,'Pollas Fase de Grupos'!$AW$2,"EMPATE"))</f>
        <v>Francia</v>
      </c>
      <c r="AU10" s="85">
        <f>PUNTAJE_GANADORES('Pollas Fase de Grupos'!AV10,'Resultados Oficiales Fase de Gr'!$D$31,'Pollas Fase de Grupos'!AW10,'Resultados Oficiales Fase de Gr'!$E$31,AT10,'Resultados Oficiales Fase de Gr'!$G$31)</f>
        <v>1</v>
      </c>
      <c r="AV10" s="85" t="str">
        <f>IF('Pollas Fase de Grupos'!AX10&gt;'Pollas Fase de Grupos'!AY10,'Pollas Fase de Grupos'!$AX$2,IF('Pollas Fase de Grupos'!AY10&gt;'Pollas Fase de Grupos'!AX10,'Pollas Fase de Grupos'!$AY$2,"EMPATE"))</f>
        <v>Dinamarca</v>
      </c>
      <c r="AW10" s="85">
        <f>PUNTAJE_GANADORES('Pollas Fase de Grupos'!AX10,'Resultados Oficiales Fase de Gr'!$D$32,'Pollas Fase de Grupos'!AY10,'Resultados Oficiales Fase de Gr'!$E$32,AV10,'Resultados Oficiales Fase de Gr'!$G$32)</f>
        <v>0</v>
      </c>
      <c r="AX10" s="85" t="str">
        <f>IF('Pollas Fase de Grupos'!AZ10&gt;'Pollas Fase de Grupos'!BA10,'Pollas Fase de Grupos'!$AZ$2,IF('Pollas Fase de Grupos'!BA10&gt;'Pollas Fase de Grupos'!AZ10,'Pollas Fase de Grupos'!$BA$2,"EMPATE"))</f>
        <v>España</v>
      </c>
      <c r="AY10" s="85">
        <f>PUNTAJE_GANADORES('Pollas Fase de Grupos'!AZ10,'Resultados Oficiales Fase de Gr'!$D$35,'Pollas Fase de Grupos'!BA10,'Resultados Oficiales Fase de Gr'!$E$35,AX10,'Resultados Oficiales Fase de Gr'!$G$35)</f>
        <v>1</v>
      </c>
      <c r="AZ10" s="85" t="str">
        <f>IF('Pollas Fase de Grupos'!BB10&gt;'Pollas Fase de Grupos'!BC10,'Pollas Fase de Grupos'!$BB$2,IF('Pollas Fase de Grupos'!BC10&gt;'Pollas Fase de Grupos'!BB10,'Pollas Fase de Grupos'!$BC$2,"EMPATE"))</f>
        <v>Alemania</v>
      </c>
      <c r="BA10" s="85">
        <f>PUNTAJE_GANADORES('Pollas Fase de Grupos'!BB10,'Resultados Oficiales Fase de Gr'!$D$36,'Pollas Fase de Grupos'!BC10,'Resultados Oficiales Fase de Gr'!$E$36,AZ10,'Resultados Oficiales Fase de Gr'!$G$36)</f>
        <v>0</v>
      </c>
      <c r="BB10" s="85" t="str">
        <f>IF('Pollas Fase de Grupos'!BD10&gt;'Pollas Fase de Grupos'!BE10,'Pollas Fase de Grupos'!$BD$2,IF('Pollas Fase de Grupos'!BE10&gt;'Pollas Fase de Grupos'!BD10,'Pollas Fase de Grupos'!$BE$2,"EMPATE"))</f>
        <v>EMPATE</v>
      </c>
      <c r="BC10" s="85">
        <f>PUNTAJE_GANADORES('Pollas Fase de Grupos'!BD10,'Resultados Oficiales Fase de Gr'!$D$37,'Pollas Fase de Grupos'!BE10,'Resultados Oficiales Fase de Gr'!$E$37,BB10,'Resultados Oficiales Fase de Gr'!$G$37)</f>
        <v>1</v>
      </c>
      <c r="BD10" s="85" t="str">
        <f>IF('Pollas Fase de Grupos'!BF10&gt;'Pollas Fase de Grupos'!BG10,'Pollas Fase de Grupos'!$BF$2,IF('Pollas Fase de Grupos'!BG10&gt;'Pollas Fase de Grupos'!BF10,'Pollas Fase de Grupos'!$BG$2,"EMPATE"))</f>
        <v>Japon</v>
      </c>
      <c r="BE10" s="85">
        <f>PUNTAJE_GANADORES('Pollas Fase de Grupos'!BF10,'Resultados Oficiales Fase de Gr'!$D$38,'Pollas Fase de Grupos'!BG10,'Resultados Oficiales Fase de Gr'!$E$38,BD10,'Resultados Oficiales Fase de Gr'!$G$38)</f>
        <v>1</v>
      </c>
      <c r="BF10" s="85" t="str">
        <f>IF('Pollas Fase de Grupos'!BH10&gt;'Pollas Fase de Grupos'!BI10,'Pollas Fase de Grupos'!$BH$2,IF('Pollas Fase de Grupos'!BI10&gt;'Pollas Fase de Grupos'!BH10,'Pollas Fase de Grupos'!$BI$2,"EMPATE"))</f>
        <v>España</v>
      </c>
      <c r="BG10" s="85">
        <f>PUNTAJE_GANADORES('Pollas Fase de Grupos'!BH10,'Resultados Oficiales Fase de Gr'!$D$39,'Pollas Fase de Grupos'!BI10,'Resultados Oficiales Fase de Gr'!$E$39,BF10,'Resultados Oficiales Fase de Gr'!$G$39)</f>
        <v>0</v>
      </c>
      <c r="BH10" s="85" t="str">
        <f>IF('Pollas Fase de Grupos'!BJ10&gt;'Pollas Fase de Grupos'!BK10,'Pollas Fase de Grupos'!$BJ$2,IF('Pollas Fase de Grupos'!BK10&gt;'Pollas Fase de Grupos'!BJ10,'Pollas Fase de Grupos'!$BK$2,"EMPATE"))</f>
        <v>Alemania</v>
      </c>
      <c r="BI10" s="85">
        <f>PUNTAJE_GANADORES('Pollas Fase de Grupos'!BJ10,'Resultados Oficiales Fase de Gr'!$D$40,'Pollas Fase de Grupos'!BK10,'Resultados Oficiales Fase de Gr'!$E$40,BH10,'Resultados Oficiales Fase de Gr'!$G$40)</f>
        <v>2</v>
      </c>
      <c r="BJ10" s="85" t="str">
        <f>IF('Pollas Fase de Grupos'!BL10&gt;'Pollas Fase de Grupos'!BM10,'Pollas Fase de Grupos'!$BL$2,IF('Pollas Fase de Grupos'!BM10&gt;'Pollas Fase de Grupos'!BL10,'Pollas Fase de Grupos'!$BM$2,"EMPATE"))</f>
        <v>Belgica</v>
      </c>
      <c r="BK10" s="85">
        <f>PUNTAJE_GANADORES('Pollas Fase de Grupos'!BL10,'Resultados Oficiales Fase de Gr'!$D$43,'Pollas Fase de Grupos'!BM10,'Resultados Oficiales Fase de Gr'!$E$43,BJ10,'Resultados Oficiales Fase de Gr'!$G$43)</f>
        <v>3</v>
      </c>
      <c r="BL10" s="85" t="str">
        <f>IF('Pollas Fase de Grupos'!BN10&gt;'Pollas Fase de Grupos'!BO10,'Pollas Fase de Grupos'!$BN$2,IF('Pollas Fase de Grupos'!BO10&gt;'Pollas Fase de Grupos'!BN10,'Pollas Fase de Grupos'!$BO$2,"EMPATE"))</f>
        <v>Croacia</v>
      </c>
      <c r="BM10" s="85">
        <f>PUNTAJE_GANADORES('Pollas Fase de Grupos'!BN10,'Resultados Oficiales Fase de Gr'!$D$44,'Pollas Fase de Grupos'!BO10,'Resultados Oficiales Fase de Gr'!$E$44,BL10,'Resultados Oficiales Fase de Gr'!$G$44)</f>
        <v>1</v>
      </c>
      <c r="BN10" s="85" t="str">
        <f>IF('Pollas Fase de Grupos'!BP10&gt;'Pollas Fase de Grupos'!BQ10,'Pollas Fase de Grupos'!$BP$2,IF('Pollas Fase de Grupos'!BQ10&gt;'Pollas Fase de Grupos'!BP10,'Pollas Fase de Grupos'!$BQ$2,"EMPATE"))</f>
        <v>Belgica</v>
      </c>
      <c r="BO10" s="85">
        <f>PUNTAJE_GANADORES('Pollas Fase de Grupos'!BP10,'Resultados Oficiales Fase de Gr'!$D$45,'Pollas Fase de Grupos'!BQ10,'Resultados Oficiales Fase de Gr'!$E$45,BN10,'Resultados Oficiales Fase de Gr'!$G$45)</f>
        <v>0</v>
      </c>
      <c r="BP10" s="85" t="str">
        <f>IF('Pollas Fase de Grupos'!BR10&gt;'Pollas Fase de Grupos'!BS10,'Pollas Fase de Grupos'!$BR$2,IF('Pollas Fase de Grupos'!BS10&gt;'Pollas Fase de Grupos'!BR10,'Pollas Fase de Grupos'!$BS$2,"EMPATE"))</f>
        <v>Croacia</v>
      </c>
      <c r="BQ10" s="85">
        <f>PUNTAJE_GANADORES('Pollas Fase de Grupos'!BR10,'Resultados Oficiales Fase de Gr'!$D$46,'Pollas Fase de Grupos'!BS10,'Resultados Oficiales Fase de Gr'!$E$46,BP10,'Resultados Oficiales Fase de Gr'!$G$46)</f>
        <v>2</v>
      </c>
      <c r="BR10" s="85" t="str">
        <f>IF('Pollas Fase de Grupos'!BT10&gt;'Pollas Fase de Grupos'!BU10,'Pollas Fase de Grupos'!$BT$2,IF('Pollas Fase de Grupos'!BU10&gt;'Pollas Fase de Grupos'!BT10,'Pollas Fase de Grupos'!$BU$2,"EMPATE"))</f>
        <v>Croacia</v>
      </c>
      <c r="BS10" s="85">
        <f>PUNTAJE_GANADORES('Pollas Fase de Grupos'!BT10,'Resultados Oficiales Fase de Gr'!$D$47,'Pollas Fase de Grupos'!BU10,'Resultados Oficiales Fase de Gr'!$E$47,BR10,'Resultados Oficiales Fase de Gr'!$G$47)</f>
        <v>1</v>
      </c>
      <c r="BT10" s="85" t="str">
        <f>IF('Pollas Fase de Grupos'!BV10&gt;'Pollas Fase de Grupos'!BW10,'Pollas Fase de Grupos'!$BV$2,IF('Pollas Fase de Grupos'!BW10&gt;'Pollas Fase de Grupos'!BV10,'Pollas Fase de Grupos'!$BW$2,"EMPATE"))</f>
        <v>Marruecos</v>
      </c>
      <c r="BU10" s="85">
        <f>PUNTAJE_GANADORES('Pollas Fase de Grupos'!BV10,'Resultados Oficiales Fase de Gr'!$D$48,'Pollas Fase de Grupos'!BW10,'Resultados Oficiales Fase de Gr'!$E$48,BT10,'Resultados Oficiales Fase de Gr'!$G$48)</f>
        <v>3</v>
      </c>
      <c r="BV10" s="85" t="str">
        <f>IF('Pollas Fase de Grupos'!BX10&gt;'Pollas Fase de Grupos'!BY10,'Pollas Fase de Grupos'!$BX$2,IF('Pollas Fase de Grupos'!BY10&gt;'Pollas Fase de Grupos'!BX10,'Pollas Fase de Grupos'!$BY$2,"EMPATE"))</f>
        <v>Brasil</v>
      </c>
      <c r="BW10" s="85">
        <f>PUNTAJE_GANADORES('Pollas Fase de Grupos'!BX10,'Resultados Oficiales Fase de Gr'!$D$51,'Pollas Fase de Grupos'!BY10,'Resultados Oficiales Fase de Gr'!$E$51,BV10,'Resultados Oficiales Fase de Gr'!$G$51)</f>
        <v>2</v>
      </c>
      <c r="BX10" s="85" t="str">
        <f>IF('Pollas Fase de Grupos'!BZ10&gt;'Pollas Fase de Grupos'!CA10,'Pollas Fase de Grupos'!$BZ$2,IF('Pollas Fase de Grupos'!CA10&gt;'Pollas Fase de Grupos'!BZ10,'Pollas Fase de Grupos'!$CA$2,"EMPATE"))</f>
        <v>Camerun</v>
      </c>
      <c r="BY10" s="85">
        <f>PUNTAJE_GANADORES('Pollas Fase de Grupos'!BZ10,'Resultados Oficiales Fase de Gr'!$D$52,'Pollas Fase de Grupos'!CA10,'Resultados Oficiales Fase de Gr'!$E$52,BX10,'Resultados Oficiales Fase de Gr'!$G$52)</f>
        <v>1</v>
      </c>
      <c r="BZ10" s="85" t="str">
        <f>IF('Pollas Fase de Grupos'!CB10&gt;'Pollas Fase de Grupos'!CC10,'Pollas Fase de Grupos'!$CB$2,IF('Pollas Fase de Grupos'!CC10&gt;'Pollas Fase de Grupos'!CB10,'Pollas Fase de Grupos'!$CC$2,"EMPATE"))</f>
        <v>Brasil</v>
      </c>
      <c r="CA10" s="85">
        <f>PUNTAJE_GANADORES('Pollas Fase de Grupos'!CB10,'Resultados Oficiales Fase de Gr'!$D$53,'Pollas Fase de Grupos'!CC10,'Resultados Oficiales Fase de Gr'!$E$53,BZ10,'Resultados Oficiales Fase de Gr'!$G$53)</f>
        <v>2</v>
      </c>
      <c r="CB10" s="85" t="str">
        <f>IF('Pollas Fase de Grupos'!CD10&gt;'Pollas Fase de Grupos'!CE10,'Pollas Fase de Grupos'!$CD$2,IF('Pollas Fase de Grupos'!CE10&gt;'Pollas Fase de Grupos'!CD10,'Pollas Fase de Grupos'!$CE$2,"EMPATE"))</f>
        <v>Camerun</v>
      </c>
      <c r="CC10" s="85">
        <f>PUNTAJE_GANADORES('Pollas Fase de Grupos'!CD10,'Resultados Oficiales Fase de Gr'!$D$54,'Pollas Fase de Grupos'!CE10,'Resultados Oficiales Fase de Gr'!$E$54,CB10,'Resultados Oficiales Fase de Gr'!$G$54)</f>
        <v>0</v>
      </c>
      <c r="CD10" s="85" t="str">
        <f>IF('Pollas Fase de Grupos'!CF10&gt;'Pollas Fase de Grupos'!CG10,'Pollas Fase de Grupos'!$CF$2,IF('Pollas Fase de Grupos'!CG10&gt;'Pollas Fase de Grupos'!CF10,'Pollas Fase de Grupos'!$CG$2,"EMPATE"))</f>
        <v>EMPATE</v>
      </c>
      <c r="CE10" s="85">
        <f>PUNTAJE_GANADORES('Pollas Fase de Grupos'!CF10,'Resultados Oficiales Fase de Gr'!$D$55,'Pollas Fase de Grupos'!CG10,'Resultados Oficiales Fase de Gr'!$E$55,CD10,'Resultados Oficiales Fase de Gr'!$G$55)</f>
        <v>0</v>
      </c>
      <c r="CF10" s="85" t="str">
        <f>IF('Pollas Fase de Grupos'!CH10&gt;'Pollas Fase de Grupos'!CI10,'Pollas Fase de Grupos'!$CH$2,IF('Pollas Fase de Grupos'!CI10&gt;'Pollas Fase de Grupos'!CH10,'Pollas Fase de Grupos'!$CI$2,"EMPATE"))</f>
        <v>Suiza</v>
      </c>
      <c r="CG10" s="85">
        <f>PUNTAJE_GANADORES('Pollas Fase de Grupos'!CH10,'Resultados Oficiales Fase de Gr'!$D$56,'Pollas Fase de Grupos'!CI10,'Resultados Oficiales Fase de Gr'!$E$56,CF10,'Resultados Oficiales Fase de Gr'!$G$56)</f>
        <v>2</v>
      </c>
      <c r="CH10" s="85" t="str">
        <f>IF('Pollas Fase de Grupos'!CJ10&gt;'Pollas Fase de Grupos'!CK10,'Pollas Fase de Grupos'!$CJ$2,IF('Pollas Fase de Grupos'!CK10&gt;'Pollas Fase de Grupos'!CJ10,'Pollas Fase de Grupos'!$CK$2,"EMPATE"))</f>
        <v>Portugal</v>
      </c>
      <c r="CI10" s="85">
        <f>PUNTAJE_GANADORES('Pollas Fase de Grupos'!CJ10,'Resultados Oficiales Fase de Gr'!$D$59,'Pollas Fase de Grupos'!CK10,'Resultados Oficiales Fase de Gr'!$E$59,CH10,'Resultados Oficiales Fase de Gr'!$G$59)</f>
        <v>2</v>
      </c>
      <c r="CJ10" s="85" t="str">
        <f>IF('Pollas Fase de Grupos'!CL10&gt;'Pollas Fase de Grupos'!CM10,'Pollas Fase de Grupos'!$CL$2,IF('Pollas Fase de Grupos'!CM10&gt;'Pollas Fase de Grupos'!CL10,'Pollas Fase de Grupos'!$CM$2,"EMPATE"))</f>
        <v>Uruguay</v>
      </c>
      <c r="CK10" s="85">
        <f>PUNTAJE_GANADORES('Pollas Fase de Grupos'!CL10,'Resultados Oficiales Fase de Gr'!$D$60,'Pollas Fase de Grupos'!CM10,'Resultados Oficiales Fase de Gr'!$E$60,CJ10,'Resultados Oficiales Fase de Gr'!$G$60)</f>
        <v>0</v>
      </c>
      <c r="CL10" s="85" t="str">
        <f>IF('Pollas Fase de Grupos'!CN10&gt;'Pollas Fase de Grupos'!CO10,'Pollas Fase de Grupos'!$CN$2,IF('Pollas Fase de Grupos'!CO10&gt;'Pollas Fase de Grupos'!CN10,'Pollas Fase de Grupos'!$CO$2,"EMPATE"))</f>
        <v>EMPATE</v>
      </c>
      <c r="CM10" s="85">
        <f>PUNTAJE_GANADORES('Pollas Fase de Grupos'!CN10,'Resultados Oficiales Fase de Gr'!$D$61,'Pollas Fase de Grupos'!CO10,'Resultados Oficiales Fase de Gr'!$E$61,CL10,'Resultados Oficiales Fase de Gr'!$G$61)</f>
        <v>0</v>
      </c>
      <c r="CN10" s="85" t="str">
        <f>IF('Pollas Fase de Grupos'!CP10&gt;'Pollas Fase de Grupos'!CQ10,'Pollas Fase de Grupos'!$CP$2,IF('Pollas Fase de Grupos'!CQ10&gt;'Pollas Fase de Grupos'!CP10,'Pollas Fase de Grupos'!$CQ$2,"EMPATE"))</f>
        <v>Ghana</v>
      </c>
      <c r="CO10" s="85">
        <f>PUNTAJE_GANADORES('Pollas Fase de Grupos'!CP10,'Resultados Oficiales Fase de Gr'!$D$62,'Pollas Fase de Grupos'!CQ10,'Resultados Oficiales Fase de Gr'!$E$62,CN10,'Resultados Oficiales Fase de Gr'!$G$62)</f>
        <v>2</v>
      </c>
      <c r="CP10" s="85" t="str">
        <f>IF('Pollas Fase de Grupos'!CR10&gt;'Pollas Fase de Grupos'!CS10,'Pollas Fase de Grupos'!$CR$2,IF('Pollas Fase de Grupos'!CS10&gt;'Pollas Fase de Grupos'!CR10,'Pollas Fase de Grupos'!$CS$2,"EMPATE"))</f>
        <v>Portugal</v>
      </c>
      <c r="CQ10" s="85">
        <f>PUNTAJE_GANADORES('Pollas Fase de Grupos'!CR10,'Resultados Oficiales Fase de Gr'!$D$63,'Pollas Fase de Grupos'!CS10,'Resultados Oficiales Fase de Gr'!$E$63,CP10,'Resultados Oficiales Fase de Gr'!$G$63)</f>
        <v>0</v>
      </c>
      <c r="CR10" s="85" t="str">
        <f>IF('Pollas Fase de Grupos'!CT10&gt;'Pollas Fase de Grupos'!CU10,'Pollas Fase de Grupos'!$CT$2,IF('Pollas Fase de Grupos'!CU10&gt;'Pollas Fase de Grupos'!CT10,'Pollas Fase de Grupos'!$CU$2,"EMPATE"))</f>
        <v>Uruguay</v>
      </c>
      <c r="CS10" s="85">
        <f>PUNTAJE_GANADORES('Pollas Fase de Grupos'!CT10,'Resultados Oficiales Fase de Gr'!$D$64,'Pollas Fase de Grupos'!CU10,'Resultados Oficiales Fase de Gr'!$E$64,CR10,'Resultados Oficiales Fase de Gr'!$G$64)</f>
        <v>2</v>
      </c>
      <c r="CT10" s="4">
        <f t="shared" si="1"/>
        <v>67</v>
      </c>
      <c r="CU10" s="17">
        <v>43.0</v>
      </c>
      <c r="CV10" s="3">
        <f t="shared" si="2"/>
        <v>70</v>
      </c>
    </row>
    <row r="11">
      <c r="A11" s="3" t="str">
        <f>'Pollas Fase de Grupos'!CV11</f>
        <v>Luchismo</v>
      </c>
      <c r="B11" s="4" t="str">
        <f>IF('Pollas Fase de Grupos'!D11&gt;'Pollas Fase de Grupos'!E11,'Pollas Fase de Grupos'!$D$2,IF('Pollas Fase de Grupos'!E11&gt;'Pollas Fase de Grupos'!D11,'Pollas Fase de Grupos'!$E$2,"EMPATE"))</f>
        <v>EMPATE</v>
      </c>
      <c r="C11" s="4">
        <f>PUNTAJE_GANADORES('Pollas Fase de Grupos'!D11,'Resultados Oficiales Fase de Gr'!$D$3,'Pollas Fase de Grupos'!E11,'Resultados Oficiales Fase de Gr'!$E$3,B11,'Resultados Oficiales Fase de Gr'!$G$3)</f>
        <v>0</v>
      </c>
      <c r="D11" s="85" t="str">
        <f>IF('Pollas Fase de Grupos'!F11&gt;'Pollas Fase de Grupos'!G11,'Pollas Fase de Grupos'!$F$2,IF('Pollas Fase de Grupos'!G11&gt;'Pollas Fase de Grupos'!F11,'Pollas Fase de Grupos'!$G$2,"EMPATE"))</f>
        <v>Paises Bajos</v>
      </c>
      <c r="E11" s="4">
        <f>PUNTAJE_GANADORES('Pollas Fase de Grupos'!F11,'Resultados Oficiales Fase de Gr'!$D$4,'Pollas Fase de Grupos'!G11,'Resultados Oficiales Fase de Gr'!$E$4,D11,'Resultados Oficiales Fase de Gr'!$G$4)</f>
        <v>5</v>
      </c>
      <c r="F11" s="85" t="str">
        <f>IF('Pollas Fase de Grupos'!H11&gt;'Pollas Fase de Grupos'!I11,'Pollas Fase de Grupos'!$H$2,IF('Pollas Fase de Grupos'!I11&gt;'Pollas Fase de Grupos'!H11,'Pollas Fase de Grupos'!$I$2,"EMPATE"))</f>
        <v>Senegal</v>
      </c>
      <c r="G11" s="4">
        <f>PUNTAJE_GANADORES('Pollas Fase de Grupos'!H11,'Resultados Oficiales Fase de Gr'!$D$5,'Pollas Fase de Grupos'!I11,'Resultados Oficiales Fase de Gr'!$E$5,F11,'Resultados Oficiales Fase de Gr'!$G$5)</f>
        <v>2</v>
      </c>
      <c r="H11" s="85" t="str">
        <f>IF('Pollas Fase de Grupos'!J11&gt;'Pollas Fase de Grupos'!K11,'Pollas Fase de Grupos'!$J$2,IF('Pollas Fase de Grupos'!K11&gt;'Pollas Fase de Grupos'!J11,'Pollas Fase de Grupos'!$K$2,"EMPATE"))</f>
        <v>Paises Bajos</v>
      </c>
      <c r="I11" s="4">
        <f>PUNTAJE_GANADORES('Pollas Fase de Grupos'!J11,'Resultados Oficiales Fase de Gr'!$D$6,'Pollas Fase de Grupos'!K11,'Resultados Oficiales Fase de Gr'!$E$6,H11,'Resultados Oficiales Fase de Gr'!$G$6)</f>
        <v>1</v>
      </c>
      <c r="J11" s="85" t="str">
        <f>IF('Pollas Fase de Grupos'!L11&gt;'Pollas Fase de Grupos'!M11,'Pollas Fase de Grupos'!$L$2,IF('Pollas Fase de Grupos'!M11&gt;'Pollas Fase de Grupos'!L11,'Pollas Fase de Grupos'!$M$2,"EMPATE"))</f>
        <v>Paises Bajos</v>
      </c>
      <c r="K11" s="4">
        <f>PUNTAJE_GANADORES('Pollas Fase de Grupos'!L11,'Resultados Oficiales Fase de Gr'!$D$7,'Pollas Fase de Grupos'!M11,'Resultados Oficiales Fase de Gr'!$E$7,J11,'Resultados Oficiales Fase de Gr'!$G$7)</f>
        <v>3</v>
      </c>
      <c r="L11" s="85" t="str">
        <f>IF('Pollas Fase de Grupos'!N11&gt;'Pollas Fase de Grupos'!O11,'Pollas Fase de Grupos'!$N$2,IF('Pollas Fase de Grupos'!O11&gt;'Pollas Fase de Grupos'!N11,'Pollas Fase de Grupos'!$O$2,"EMPATE"))</f>
        <v>Ecuador</v>
      </c>
      <c r="M11" s="85">
        <f>PUNTAJE_GANADORES('Pollas Fase de Grupos'!N11,'Resultados Oficiales Fase de Gr'!$D$8,'Pollas Fase de Grupos'!O11,'Resultados Oficiales Fase de Gr'!$E$8,L11,'Resultados Oficiales Fase de Gr'!$G$8)</f>
        <v>0</v>
      </c>
      <c r="N11" s="85" t="str">
        <f>IF('Pollas Fase de Grupos'!P11&gt;'Pollas Fase de Grupos'!Q11,'Pollas Fase de Grupos'!$P$2,IF('Pollas Fase de Grupos'!Q11&gt;'Pollas Fase de Grupos'!P11,'Pollas Fase de Grupos'!$Q$2,"EMPATE"))</f>
        <v>Inglaterra</v>
      </c>
      <c r="O11" s="85">
        <f>PUNTAJE_GANADORES('Pollas Fase de Grupos'!P11,'Resultados Oficiales Fase de Gr'!$D$11,'Pollas Fase de Grupos'!Q11,'Resultados Oficiales Fase de Gr'!$E$11,N11,'Resultados Oficiales Fase de Gr'!$G$11)</f>
        <v>2</v>
      </c>
      <c r="P11" s="4" t="str">
        <f>IF('Pollas Fase de Grupos'!R11&gt;'Pollas Fase de Grupos'!S11,'Pollas Fase de Grupos'!$R$2,IF('Pollas Fase de Grupos'!S11&gt;'Pollas Fase de Grupos'!R11,'Pollas Fase de Grupos'!$S$2,"EMPATE"))</f>
        <v>EMPATE</v>
      </c>
      <c r="Q11" s="85">
        <f>PUNTAJE_GANADORES('Pollas Fase de Grupos'!R11,'Resultados Oficiales Fase de Gr'!$D$12,'Pollas Fase de Grupos'!S11,'Resultados Oficiales Fase de Gr'!$E$12,P11,'Resultados Oficiales Fase de Gr'!$G$12)</f>
        <v>5</v>
      </c>
      <c r="R11" s="85" t="str">
        <f>IF('Pollas Fase de Grupos'!T11&gt;'Pollas Fase de Grupos'!U11,'Pollas Fase de Grupos'!$T$2,IF('Pollas Fase de Grupos'!U11&gt;'Pollas Fase de Grupos'!T11,'Pollas Fase de Grupos'!$U$2,"EMPATE"))</f>
        <v>Inglaterra</v>
      </c>
      <c r="S11" s="4">
        <f>PUNTAJE_GANADORES('Pollas Fase de Grupos'!T11,'Resultados Oficiales Fase de Gr'!$D$13,'Pollas Fase de Grupos'!U11,'Resultados Oficiales Fase de Gr'!$E$13,R11,'Resultados Oficiales Fase de Gr'!$G$13)</f>
        <v>0</v>
      </c>
      <c r="T11" s="85" t="str">
        <f>IF('Pollas Fase de Grupos'!V11&gt;'Pollas Fase de Grupos'!W11,'Pollas Fase de Grupos'!$V$2,IF('Pollas Fase de Grupos'!W11&gt;'Pollas Fase de Grupos'!V11,'Pollas Fase de Grupos'!$W$2,"EMPATE"))</f>
        <v>Gales</v>
      </c>
      <c r="U11" s="86">
        <f>PUNTAJE_GANADORES('Pollas Fase de Grupos'!V11,'Resultados Oficiales Fase de Gr'!$D$14,'Pollas Fase de Grupos'!W11,'Resultados Oficiales Fase de Gr'!$E$14,T11,'Resultados Oficiales Fase de Gr'!$G$14)</f>
        <v>0</v>
      </c>
      <c r="V11" s="85" t="str">
        <f>IF('Pollas Fase de Grupos'!X11&gt;'Pollas Fase de Grupos'!Y11,'Pollas Fase de Grupos'!$X$2,IF('Pollas Fase de Grupos'!Y11&gt;'Pollas Fase de Grupos'!X11,'Pollas Fase de Grupos'!$Y$2,"EMPATE"))</f>
        <v>EMPATE</v>
      </c>
      <c r="W11" s="85">
        <f>PUNTAJE_GANADORES('Pollas Fase de Grupos'!X11,'Resultados Oficiales Fase de Gr'!$D$15,'Pollas Fase de Grupos'!Y11,'Resultados Oficiales Fase de Gr'!$E$15,V11,'Resultados Oficiales Fase de Gr'!$G$15)</f>
        <v>0</v>
      </c>
      <c r="X11" s="85" t="str">
        <f>IF('Pollas Fase de Grupos'!Z11&gt;'Pollas Fase de Grupos'!AA11,'Pollas Fase de Grupos'!$Z$2,IF('Pollas Fase de Grupos'!AA11&gt;'Pollas Fase de Grupos'!Z11,'Pollas Fase de Grupos'!$AA$2,"EMPATE"))</f>
        <v>Estados Unidos</v>
      </c>
      <c r="Y11" s="87">
        <f>PUNTAJE_GANADORES('Pollas Fase de Grupos'!Z11,'Resultados Oficiales Fase de Gr'!$D$16,'Pollas Fase de Grupos'!AA11,'Resultados Oficiales Fase de Gr'!$E$16,X11,'Resultados Oficiales Fase de Gr'!$G$16)</f>
        <v>3</v>
      </c>
      <c r="Z11" s="85" t="str">
        <f>IF('Pollas Fase de Grupos'!AB11&gt;'Pollas Fase de Grupos'!AC11,'Pollas Fase de Grupos'!$AB$2,IF('Pollas Fase de Grupos'!AC11&gt;'Pollas Fase de Grupos'!AB11,'Pollas Fase de Grupos'!$AC$2,"EMPATE"))</f>
        <v>Argentina</v>
      </c>
      <c r="AA11" s="85">
        <f>PUNTAJE_GANADORES('Pollas Fase de Grupos'!AB11,'Resultados Oficiales Fase de Gr'!$D$19,'Pollas Fase de Grupos'!AC11,'Resultados Oficiales Fase de Gr'!$E$19,Z11,'Resultados Oficiales Fase de Gr'!$G$19)</f>
        <v>0</v>
      </c>
      <c r="AB11" s="85" t="str">
        <f>IF('Pollas Fase de Grupos'!AD11&gt;'Pollas Fase de Grupos'!AE11,'Pollas Fase de Grupos'!$AD$2,IF('Pollas Fase de Grupos'!AE11&gt;'Pollas Fase de Grupos'!AD11,'Pollas Fase de Grupos'!$AE$2,"EMPATE"))</f>
        <v>Polonia</v>
      </c>
      <c r="AC11" s="85">
        <f>PUNTAJE_GANADORES('Pollas Fase de Grupos'!AD11,'Resultados Oficiales Fase de Gr'!$D$20,'Pollas Fase de Grupos'!AE11,'Resultados Oficiales Fase de Gr'!$E$20,AB11,'Resultados Oficiales Fase de Gr'!$G$20)</f>
        <v>0</v>
      </c>
      <c r="AD11" s="85" t="str">
        <f>IF('Pollas Fase de Grupos'!AF11&gt;'Pollas Fase de Grupos'!AG11,'Pollas Fase de Grupos'!$AF$2,IF('Pollas Fase de Grupos'!AG11&gt;'Pollas Fase de Grupos'!AF11,'Pollas Fase de Grupos'!$AG$2,"EMPATE"))</f>
        <v>Argentina</v>
      </c>
      <c r="AE11" s="85">
        <f>PUNTAJE_GANADORES('Pollas Fase de Grupos'!AF11,'Resultados Oficiales Fase de Gr'!$D$21,'Pollas Fase de Grupos'!AG11,'Resultados Oficiales Fase de Gr'!$E$21,AD11,'Resultados Oficiales Fase de Gr'!$G$21)</f>
        <v>3</v>
      </c>
      <c r="AF11" s="85" t="str">
        <f>IF('Pollas Fase de Grupos'!AH11&gt;'Pollas Fase de Grupos'!AI11,'Pollas Fase de Grupos'!$AH$2,IF('Pollas Fase de Grupos'!AI11&gt;'Pollas Fase de Grupos'!AH11,'Pollas Fase de Grupos'!$AI$2,"EMPATE"))</f>
        <v>Polonia</v>
      </c>
      <c r="AG11" s="85">
        <f>PUNTAJE_GANADORES('Pollas Fase de Grupos'!AH11,'Resultados Oficiales Fase de Gr'!$D$22,'Pollas Fase de Grupos'!AI11,'Resultados Oficiales Fase de Gr'!$E$22,AF11,'Resultados Oficiales Fase de Gr'!$G$22)</f>
        <v>3</v>
      </c>
      <c r="AH11" s="85" t="str">
        <f>IF('Pollas Fase de Grupos'!AJ11&gt;'Pollas Fase de Grupos'!AK11,'Pollas Fase de Grupos'!$AJ$2,IF('Pollas Fase de Grupos'!AK11&gt;'Pollas Fase de Grupos'!AJ11,'Pollas Fase de Grupos'!$AK$2,"EMPATE"))</f>
        <v>Argentina</v>
      </c>
      <c r="AI11" s="85">
        <f>PUNTAJE_GANADORES('Pollas Fase de Grupos'!AJ11,'Resultados Oficiales Fase de Gr'!$D$23,'Pollas Fase de Grupos'!AK11,'Resultados Oficiales Fase de Gr'!$E$23,AH11,'Resultados Oficiales Fase de Gr'!$G$23)</f>
        <v>3</v>
      </c>
      <c r="AJ11" s="85" t="str">
        <f>IF('Pollas Fase de Grupos'!AL11&gt;'Pollas Fase de Grupos'!AM11,'Pollas Fase de Grupos'!$AL$2,IF('Pollas Fase de Grupos'!AM11&gt;'Pollas Fase de Grupos'!AL11,'Pollas Fase de Grupos'!$AM$2,"EMPATE"))</f>
        <v>Mexico</v>
      </c>
      <c r="AK11" s="85">
        <f>PUNTAJE_GANADORES('Pollas Fase de Grupos'!AL11,'Resultados Oficiales Fase de Gr'!$D$24,'Pollas Fase de Grupos'!AM11,'Resultados Oficiales Fase de Gr'!$E$24,AJ11,'Resultados Oficiales Fase de Gr'!$G$24)</f>
        <v>3</v>
      </c>
      <c r="AL11" s="85" t="str">
        <f>IF('Pollas Fase de Grupos'!AN11&gt;'Pollas Fase de Grupos'!AO11,'Pollas Fase de Grupos'!$AN$2,IF('Pollas Fase de Grupos'!AO11&gt;'Pollas Fase de Grupos'!AN11,'Pollas Fase de Grupos'!$AO$2,"EMPATE"))</f>
        <v>Francia</v>
      </c>
      <c r="AM11" s="85">
        <f>PUNTAJE_GANADORES('Pollas Fase de Grupos'!AN11,'Resultados Oficiales Fase de Gr'!$D$27,'Pollas Fase de Grupos'!AO11,'Resultados Oficiales Fase de Gr'!$E$27,AL11,'Resultados Oficiales Fase de Gr'!$G$27)</f>
        <v>2</v>
      </c>
      <c r="AN11" s="85" t="str">
        <f>IF('Pollas Fase de Grupos'!AP11&gt;'Pollas Fase de Grupos'!AQ11,'Pollas Fase de Grupos'!$AP$2,IF('Pollas Fase de Grupos'!AQ11&gt;'Pollas Fase de Grupos'!AP11,'Pollas Fase de Grupos'!$AQ$2,"EMPATE"))</f>
        <v>Dinamarca</v>
      </c>
      <c r="AO11" s="85">
        <f>PUNTAJE_GANADORES('Pollas Fase de Grupos'!AP11,'Resultados Oficiales Fase de Gr'!$D$28,'Pollas Fase de Grupos'!AQ11,'Resultados Oficiales Fase de Gr'!$E$28,AN11,'Resultados Oficiales Fase de Gr'!$G$28)</f>
        <v>1</v>
      </c>
      <c r="AP11" s="85" t="str">
        <f>IF('Pollas Fase de Grupos'!AR11&gt;'Pollas Fase de Grupos'!AS11,'Pollas Fase de Grupos'!$AR$2,IF('Pollas Fase de Grupos'!AS11&gt;'Pollas Fase de Grupos'!AR11,'Pollas Fase de Grupos'!$AS$2,"EMPATE"))</f>
        <v>EMPATE</v>
      </c>
      <c r="AQ11" s="85">
        <f>PUNTAJE_GANADORES('Pollas Fase de Grupos'!AR11,'Resultados Oficiales Fase de Gr'!$D$29,'Pollas Fase de Grupos'!AS11,'Resultados Oficiales Fase de Gr'!$E$29,AP11,'Resultados Oficiales Fase de Gr'!$G$29)</f>
        <v>1</v>
      </c>
      <c r="AR11" s="85" t="str">
        <f>IF('Pollas Fase de Grupos'!AT11&gt;'Pollas Fase de Grupos'!AU11,'Pollas Fase de Grupos'!$AT$2,IF('Pollas Fase de Grupos'!AU11&gt;'Pollas Fase de Grupos'!AT11,'Pollas Fase de Grupos'!$AU$2,"EMPATE"))</f>
        <v>Tunez</v>
      </c>
      <c r="AS11" s="85">
        <f>PUNTAJE_GANADORES('Pollas Fase de Grupos'!AT11,'Resultados Oficiales Fase de Gr'!$D$30,'Pollas Fase de Grupos'!AU11,'Resultados Oficiales Fase de Gr'!$E$30,AR11,'Resultados Oficiales Fase de Gr'!$G$30)</f>
        <v>0</v>
      </c>
      <c r="AT11" s="85" t="str">
        <f>IF('Pollas Fase de Grupos'!AV11&gt;'Pollas Fase de Grupos'!AW11,'Pollas Fase de Grupos'!$AV$2,IF('Pollas Fase de Grupos'!AW11&gt;'Pollas Fase de Grupos'!AV11,'Pollas Fase de Grupos'!$AW$2,"EMPATE"))</f>
        <v>Francia</v>
      </c>
      <c r="AU11" s="85">
        <f>PUNTAJE_GANADORES('Pollas Fase de Grupos'!AV11,'Resultados Oficiales Fase de Gr'!$D$31,'Pollas Fase de Grupos'!AW11,'Resultados Oficiales Fase de Gr'!$E$31,AT11,'Resultados Oficiales Fase de Gr'!$G$31)</f>
        <v>0</v>
      </c>
      <c r="AV11" s="85" t="str">
        <f>IF('Pollas Fase de Grupos'!AX11&gt;'Pollas Fase de Grupos'!AY11,'Pollas Fase de Grupos'!$AX$2,IF('Pollas Fase de Grupos'!AY11&gt;'Pollas Fase de Grupos'!AX11,'Pollas Fase de Grupos'!$AY$2,"EMPATE"))</f>
        <v>Dinamarca</v>
      </c>
      <c r="AW11" s="85">
        <f>PUNTAJE_GANADORES('Pollas Fase de Grupos'!AX11,'Resultados Oficiales Fase de Gr'!$D$32,'Pollas Fase de Grupos'!AY11,'Resultados Oficiales Fase de Gr'!$E$32,AV11,'Resultados Oficiales Fase de Gr'!$G$32)</f>
        <v>0</v>
      </c>
      <c r="AX11" s="85" t="str">
        <f>IF('Pollas Fase de Grupos'!AZ11&gt;'Pollas Fase de Grupos'!BA11,'Pollas Fase de Grupos'!$AZ$2,IF('Pollas Fase de Grupos'!BA11&gt;'Pollas Fase de Grupos'!AZ11,'Pollas Fase de Grupos'!$BA$2,"EMPATE"))</f>
        <v>España</v>
      </c>
      <c r="AY11" s="85">
        <f>PUNTAJE_GANADORES('Pollas Fase de Grupos'!AZ11,'Resultados Oficiales Fase de Gr'!$D$35,'Pollas Fase de Grupos'!BA11,'Resultados Oficiales Fase de Gr'!$E$35,AX11,'Resultados Oficiales Fase de Gr'!$G$35)</f>
        <v>1</v>
      </c>
      <c r="AZ11" s="85" t="str">
        <f>IF('Pollas Fase de Grupos'!BB11&gt;'Pollas Fase de Grupos'!BC11,'Pollas Fase de Grupos'!$BB$2,IF('Pollas Fase de Grupos'!BC11&gt;'Pollas Fase de Grupos'!BB11,'Pollas Fase de Grupos'!$BC$2,"EMPATE"))</f>
        <v>Alemania</v>
      </c>
      <c r="BA11" s="85">
        <f>PUNTAJE_GANADORES('Pollas Fase de Grupos'!BB11,'Resultados Oficiales Fase de Gr'!$D$36,'Pollas Fase de Grupos'!BC11,'Resultados Oficiales Fase de Gr'!$E$36,AZ11,'Resultados Oficiales Fase de Gr'!$G$36)</f>
        <v>0</v>
      </c>
      <c r="BB11" s="85" t="str">
        <f>IF('Pollas Fase de Grupos'!BD11&gt;'Pollas Fase de Grupos'!BE11,'Pollas Fase de Grupos'!$BD$2,IF('Pollas Fase de Grupos'!BE11&gt;'Pollas Fase de Grupos'!BD11,'Pollas Fase de Grupos'!$BE$2,"EMPATE"))</f>
        <v>Alemania</v>
      </c>
      <c r="BC11" s="85">
        <f>PUNTAJE_GANADORES('Pollas Fase de Grupos'!BD11,'Resultados Oficiales Fase de Gr'!$D$37,'Pollas Fase de Grupos'!BE11,'Resultados Oficiales Fase de Gr'!$E$37,BB11,'Resultados Oficiales Fase de Gr'!$G$37)</f>
        <v>1</v>
      </c>
      <c r="BD11" s="85" t="str">
        <f>IF('Pollas Fase de Grupos'!BF11&gt;'Pollas Fase de Grupos'!BG11,'Pollas Fase de Grupos'!$BF$2,IF('Pollas Fase de Grupos'!BG11&gt;'Pollas Fase de Grupos'!BF11,'Pollas Fase de Grupos'!$BG$2,"EMPATE"))</f>
        <v>Japon</v>
      </c>
      <c r="BE11" s="85">
        <f>PUNTAJE_GANADORES('Pollas Fase de Grupos'!BF11,'Resultados Oficiales Fase de Gr'!$D$38,'Pollas Fase de Grupos'!BG11,'Resultados Oficiales Fase de Gr'!$E$38,BD11,'Resultados Oficiales Fase de Gr'!$G$38)</f>
        <v>0</v>
      </c>
      <c r="BF11" s="85" t="str">
        <f>IF('Pollas Fase de Grupos'!BH11&gt;'Pollas Fase de Grupos'!BI11,'Pollas Fase de Grupos'!$BH$2,IF('Pollas Fase de Grupos'!BI11&gt;'Pollas Fase de Grupos'!BH11,'Pollas Fase de Grupos'!$BI$2,"EMPATE"))</f>
        <v>España</v>
      </c>
      <c r="BG11" s="85">
        <f>PUNTAJE_GANADORES('Pollas Fase de Grupos'!BH11,'Resultados Oficiales Fase de Gr'!$D$39,'Pollas Fase de Grupos'!BI11,'Resultados Oficiales Fase de Gr'!$E$39,BF11,'Resultados Oficiales Fase de Gr'!$G$39)</f>
        <v>0</v>
      </c>
      <c r="BH11" s="85" t="str">
        <f>IF('Pollas Fase de Grupos'!BJ11&gt;'Pollas Fase de Grupos'!BK11,'Pollas Fase de Grupos'!$BJ$2,IF('Pollas Fase de Grupos'!BK11&gt;'Pollas Fase de Grupos'!BJ11,'Pollas Fase de Grupos'!$BK$2,"EMPATE"))</f>
        <v>Alemania</v>
      </c>
      <c r="BI11" s="85">
        <f>PUNTAJE_GANADORES('Pollas Fase de Grupos'!BJ11,'Resultados Oficiales Fase de Gr'!$D$40,'Pollas Fase de Grupos'!BK11,'Resultados Oficiales Fase de Gr'!$E$40,BH11,'Resultados Oficiales Fase de Gr'!$G$40)</f>
        <v>2</v>
      </c>
      <c r="BJ11" s="85" t="str">
        <f>IF('Pollas Fase de Grupos'!BL11&gt;'Pollas Fase de Grupos'!BM11,'Pollas Fase de Grupos'!$BL$2,IF('Pollas Fase de Grupos'!BM11&gt;'Pollas Fase de Grupos'!BL11,'Pollas Fase de Grupos'!$BM$2,"EMPATE"))</f>
        <v>Belgica</v>
      </c>
      <c r="BK11" s="85">
        <f>PUNTAJE_GANADORES('Pollas Fase de Grupos'!BL11,'Resultados Oficiales Fase de Gr'!$D$43,'Pollas Fase de Grupos'!BM11,'Resultados Oficiales Fase de Gr'!$E$43,BJ11,'Resultados Oficiales Fase de Gr'!$G$43)</f>
        <v>3</v>
      </c>
      <c r="BL11" s="85" t="str">
        <f>IF('Pollas Fase de Grupos'!BN11&gt;'Pollas Fase de Grupos'!BO11,'Pollas Fase de Grupos'!$BN$2,IF('Pollas Fase de Grupos'!BO11&gt;'Pollas Fase de Grupos'!BN11,'Pollas Fase de Grupos'!$BO$2,"EMPATE"))</f>
        <v>Croacia</v>
      </c>
      <c r="BM11" s="85">
        <f>PUNTAJE_GANADORES('Pollas Fase de Grupos'!BN11,'Resultados Oficiales Fase de Gr'!$D$44,'Pollas Fase de Grupos'!BO11,'Resultados Oficiales Fase de Gr'!$E$44,BL11,'Resultados Oficiales Fase de Gr'!$G$44)</f>
        <v>1</v>
      </c>
      <c r="BN11" s="85" t="str">
        <f>IF('Pollas Fase de Grupos'!BP11&gt;'Pollas Fase de Grupos'!BQ11,'Pollas Fase de Grupos'!$BP$2,IF('Pollas Fase de Grupos'!BQ11&gt;'Pollas Fase de Grupos'!BP11,'Pollas Fase de Grupos'!$BQ$2,"EMPATE"))</f>
        <v>Belgica</v>
      </c>
      <c r="BO11" s="85">
        <f>PUNTAJE_GANADORES('Pollas Fase de Grupos'!BP11,'Resultados Oficiales Fase de Gr'!$D$45,'Pollas Fase de Grupos'!BQ11,'Resultados Oficiales Fase de Gr'!$E$45,BN11,'Resultados Oficiales Fase de Gr'!$G$45)</f>
        <v>0</v>
      </c>
      <c r="BP11" s="85" t="str">
        <f>IF('Pollas Fase de Grupos'!BR11&gt;'Pollas Fase de Grupos'!BS11,'Pollas Fase de Grupos'!$BR$2,IF('Pollas Fase de Grupos'!BS11&gt;'Pollas Fase de Grupos'!BR11,'Pollas Fase de Grupos'!$BS$2,"EMPATE"))</f>
        <v>Croacia</v>
      </c>
      <c r="BQ11" s="85">
        <f>PUNTAJE_GANADORES('Pollas Fase de Grupos'!BR11,'Resultados Oficiales Fase de Gr'!$D$46,'Pollas Fase de Grupos'!BS11,'Resultados Oficiales Fase de Gr'!$E$46,BP11,'Resultados Oficiales Fase de Gr'!$G$46)</f>
        <v>2</v>
      </c>
      <c r="BR11" s="85" t="str">
        <f>IF('Pollas Fase de Grupos'!BT11&gt;'Pollas Fase de Grupos'!BU11,'Pollas Fase de Grupos'!$BT$2,IF('Pollas Fase de Grupos'!BU11&gt;'Pollas Fase de Grupos'!BT11,'Pollas Fase de Grupos'!$BU$2,"EMPATE"))</f>
        <v>Belgica</v>
      </c>
      <c r="BS11" s="85">
        <f>PUNTAJE_GANADORES('Pollas Fase de Grupos'!BT11,'Resultados Oficiales Fase de Gr'!$D$47,'Pollas Fase de Grupos'!BU11,'Resultados Oficiales Fase de Gr'!$E$47,BR11,'Resultados Oficiales Fase de Gr'!$G$47)</f>
        <v>1</v>
      </c>
      <c r="BT11" s="85" t="str">
        <f>IF('Pollas Fase de Grupos'!BV11&gt;'Pollas Fase de Grupos'!BW11,'Pollas Fase de Grupos'!$BV$2,IF('Pollas Fase de Grupos'!BW11&gt;'Pollas Fase de Grupos'!BV11,'Pollas Fase de Grupos'!$BW$2,"EMPATE"))</f>
        <v>Marruecos</v>
      </c>
      <c r="BU11" s="85">
        <f>PUNTAJE_GANADORES('Pollas Fase de Grupos'!BV11,'Resultados Oficiales Fase de Gr'!$D$48,'Pollas Fase de Grupos'!BW11,'Resultados Oficiales Fase de Gr'!$E$48,BT11,'Resultados Oficiales Fase de Gr'!$G$48)</f>
        <v>3</v>
      </c>
      <c r="BV11" s="85" t="str">
        <f>IF('Pollas Fase de Grupos'!BX11&gt;'Pollas Fase de Grupos'!BY11,'Pollas Fase de Grupos'!$BX$2,IF('Pollas Fase de Grupos'!BY11&gt;'Pollas Fase de Grupos'!BX11,'Pollas Fase de Grupos'!$BY$2,"EMPATE"))</f>
        <v>Brasil</v>
      </c>
      <c r="BW11" s="85">
        <f>PUNTAJE_GANADORES('Pollas Fase de Grupos'!BX11,'Resultados Oficiales Fase de Gr'!$D$51,'Pollas Fase de Grupos'!BY11,'Resultados Oficiales Fase de Gr'!$E$51,BV11,'Resultados Oficiales Fase de Gr'!$G$51)</f>
        <v>5</v>
      </c>
      <c r="BX11" s="85" t="str">
        <f>IF('Pollas Fase de Grupos'!BZ11&gt;'Pollas Fase de Grupos'!CA11,'Pollas Fase de Grupos'!$BZ$2,IF('Pollas Fase de Grupos'!CA11&gt;'Pollas Fase de Grupos'!BZ11,'Pollas Fase de Grupos'!$CA$2,"EMPATE"))</f>
        <v>Suiza</v>
      </c>
      <c r="BY11" s="85">
        <f>PUNTAJE_GANADORES('Pollas Fase de Grupos'!BZ11,'Resultados Oficiales Fase de Gr'!$D$52,'Pollas Fase de Grupos'!CA11,'Resultados Oficiales Fase de Gr'!$E$52,BX11,'Resultados Oficiales Fase de Gr'!$G$52)</f>
        <v>5</v>
      </c>
      <c r="BZ11" s="85" t="str">
        <f>IF('Pollas Fase de Grupos'!CB11&gt;'Pollas Fase de Grupos'!CC11,'Pollas Fase de Grupos'!$CB$2,IF('Pollas Fase de Grupos'!CC11&gt;'Pollas Fase de Grupos'!CB11,'Pollas Fase de Grupos'!$CC$2,"EMPATE"))</f>
        <v>Brasil</v>
      </c>
      <c r="CA11" s="85">
        <f>PUNTAJE_GANADORES('Pollas Fase de Grupos'!CB11,'Resultados Oficiales Fase de Gr'!$D$53,'Pollas Fase de Grupos'!CC11,'Resultados Oficiales Fase de Gr'!$E$53,BZ11,'Resultados Oficiales Fase de Gr'!$G$53)</f>
        <v>3</v>
      </c>
      <c r="CB11" s="85" t="str">
        <f>IF('Pollas Fase de Grupos'!CD11&gt;'Pollas Fase de Grupos'!CE11,'Pollas Fase de Grupos'!$CD$2,IF('Pollas Fase de Grupos'!CE11&gt;'Pollas Fase de Grupos'!CD11,'Pollas Fase de Grupos'!$CE$2,"EMPATE"))</f>
        <v>Serbia</v>
      </c>
      <c r="CC11" s="85">
        <f>PUNTAJE_GANADORES('Pollas Fase de Grupos'!CD11,'Resultados Oficiales Fase de Gr'!$D$54,'Pollas Fase de Grupos'!CE11,'Resultados Oficiales Fase de Gr'!$E$54,CB11,'Resultados Oficiales Fase de Gr'!$G$54)</f>
        <v>0</v>
      </c>
      <c r="CD11" s="85" t="str">
        <f>IF('Pollas Fase de Grupos'!CF11&gt;'Pollas Fase de Grupos'!CG11,'Pollas Fase de Grupos'!$CF$2,IF('Pollas Fase de Grupos'!CG11&gt;'Pollas Fase de Grupos'!CF11,'Pollas Fase de Grupos'!$CG$2,"EMPATE"))</f>
        <v>Brasil</v>
      </c>
      <c r="CE11" s="85">
        <f>PUNTAJE_GANADORES('Pollas Fase de Grupos'!CF11,'Resultados Oficiales Fase de Gr'!$D$55,'Pollas Fase de Grupos'!CG11,'Resultados Oficiales Fase de Gr'!$E$55,CD11,'Resultados Oficiales Fase de Gr'!$G$55)</f>
        <v>0</v>
      </c>
      <c r="CF11" s="85" t="str">
        <f>IF('Pollas Fase de Grupos'!CH11&gt;'Pollas Fase de Grupos'!CI11,'Pollas Fase de Grupos'!$CH$2,IF('Pollas Fase de Grupos'!CI11&gt;'Pollas Fase de Grupos'!CH11,'Pollas Fase de Grupos'!$CI$2,"EMPATE"))</f>
        <v>Serbia</v>
      </c>
      <c r="CG11" s="85">
        <f>PUNTAJE_GANADORES('Pollas Fase de Grupos'!CH11,'Resultados Oficiales Fase de Gr'!$D$56,'Pollas Fase de Grupos'!CI11,'Resultados Oficiales Fase de Gr'!$E$56,CF11,'Resultados Oficiales Fase de Gr'!$G$56)</f>
        <v>0</v>
      </c>
      <c r="CH11" s="85" t="str">
        <f>IF('Pollas Fase de Grupos'!CJ11&gt;'Pollas Fase de Grupos'!CK11,'Pollas Fase de Grupos'!$CJ$2,IF('Pollas Fase de Grupos'!CK11&gt;'Pollas Fase de Grupos'!CJ11,'Pollas Fase de Grupos'!$CK$2,"EMPATE"))</f>
        <v>Portugal</v>
      </c>
      <c r="CI11" s="85">
        <f>PUNTAJE_GANADORES('Pollas Fase de Grupos'!CJ11,'Resultados Oficiales Fase de Gr'!$D$59,'Pollas Fase de Grupos'!CK11,'Resultados Oficiales Fase de Gr'!$E$59,CH11,'Resultados Oficiales Fase de Gr'!$G$59)</f>
        <v>2</v>
      </c>
      <c r="CJ11" s="85" t="str">
        <f>IF('Pollas Fase de Grupos'!CL11&gt;'Pollas Fase de Grupos'!CM11,'Pollas Fase de Grupos'!$CL$2,IF('Pollas Fase de Grupos'!CM11&gt;'Pollas Fase de Grupos'!CL11,'Pollas Fase de Grupos'!$CM$2,"EMPATE"))</f>
        <v>Uruguay</v>
      </c>
      <c r="CK11" s="85">
        <f>PUNTAJE_GANADORES('Pollas Fase de Grupos'!CL11,'Resultados Oficiales Fase de Gr'!$D$60,'Pollas Fase de Grupos'!CM11,'Resultados Oficiales Fase de Gr'!$E$60,CJ11,'Resultados Oficiales Fase de Gr'!$G$60)</f>
        <v>0</v>
      </c>
      <c r="CL11" s="85" t="str">
        <f>IF('Pollas Fase de Grupos'!CN11&gt;'Pollas Fase de Grupos'!CO11,'Pollas Fase de Grupos'!$CN$2,IF('Pollas Fase de Grupos'!CO11&gt;'Pollas Fase de Grupos'!CN11,'Pollas Fase de Grupos'!$CO$2,"EMPATE"))</f>
        <v>Portugal</v>
      </c>
      <c r="CM11" s="85">
        <f>PUNTAJE_GANADORES('Pollas Fase de Grupos'!CN11,'Resultados Oficiales Fase de Gr'!$D$61,'Pollas Fase de Grupos'!CO11,'Resultados Oficiales Fase de Gr'!$E$61,CL11,'Resultados Oficiales Fase de Gr'!$G$61)</f>
        <v>3</v>
      </c>
      <c r="CN11" s="85" t="str">
        <f>IF('Pollas Fase de Grupos'!CP11&gt;'Pollas Fase de Grupos'!CQ11,'Pollas Fase de Grupos'!$CP$2,IF('Pollas Fase de Grupos'!CQ11&gt;'Pollas Fase de Grupos'!CP11,'Pollas Fase de Grupos'!$CQ$2,"EMPATE"))</f>
        <v>Ghana</v>
      </c>
      <c r="CO11" s="85">
        <f>PUNTAJE_GANADORES('Pollas Fase de Grupos'!CP11,'Resultados Oficiales Fase de Gr'!$D$62,'Pollas Fase de Grupos'!CQ11,'Resultados Oficiales Fase de Gr'!$E$62,CN11,'Resultados Oficiales Fase de Gr'!$G$62)</f>
        <v>2</v>
      </c>
      <c r="CP11" s="85" t="str">
        <f>IF('Pollas Fase de Grupos'!CR11&gt;'Pollas Fase de Grupos'!CS11,'Pollas Fase de Grupos'!$CR$2,IF('Pollas Fase de Grupos'!CS11&gt;'Pollas Fase de Grupos'!CR11,'Pollas Fase de Grupos'!$CS$2,"EMPATE"))</f>
        <v>Portugal</v>
      </c>
      <c r="CQ11" s="85">
        <f>PUNTAJE_GANADORES('Pollas Fase de Grupos'!CR11,'Resultados Oficiales Fase de Gr'!$D$63,'Pollas Fase de Grupos'!CS11,'Resultados Oficiales Fase de Gr'!$E$63,CP11,'Resultados Oficiales Fase de Gr'!$G$63)</f>
        <v>0</v>
      </c>
      <c r="CR11" s="85" t="str">
        <f>IF('Pollas Fase de Grupos'!CT11&gt;'Pollas Fase de Grupos'!CU11,'Pollas Fase de Grupos'!$CT$2,IF('Pollas Fase de Grupos'!CU11&gt;'Pollas Fase de Grupos'!CT11,'Pollas Fase de Grupos'!$CU$2,"EMPATE"))</f>
        <v>Uruguay</v>
      </c>
      <c r="CS11" s="85">
        <f>PUNTAJE_GANADORES('Pollas Fase de Grupos'!CT11,'Resultados Oficiales Fase de Gr'!$D$64,'Pollas Fase de Grupos'!CU11,'Resultados Oficiales Fase de Gr'!$E$64,CR11,'Resultados Oficiales Fase de Gr'!$G$64)</f>
        <v>3</v>
      </c>
      <c r="CT11" s="4">
        <f t="shared" si="1"/>
        <v>74</v>
      </c>
      <c r="CU11" s="17">
        <v>56.0</v>
      </c>
      <c r="CV11" s="3">
        <f t="shared" si="2"/>
        <v>77</v>
      </c>
    </row>
    <row r="12">
      <c r="A12" s="3" t="str">
        <f>'Pollas Fase de Grupos'!CV12</f>
        <v>Lore Mira</v>
      </c>
      <c r="B12" s="4" t="str">
        <f>IF('Pollas Fase de Grupos'!D12&gt;'Pollas Fase de Grupos'!E12,'Pollas Fase de Grupos'!$D$2,IF('Pollas Fase de Grupos'!E12&gt;'Pollas Fase de Grupos'!D12,'Pollas Fase de Grupos'!$E$2,"EMPATE"))</f>
        <v>Qatar</v>
      </c>
      <c r="C12" s="4">
        <f>PUNTAJE_GANADORES('Pollas Fase de Grupos'!D12,'Resultados Oficiales Fase de Gr'!$D$3,'Pollas Fase de Grupos'!E12,'Resultados Oficiales Fase de Gr'!$E$3,B12,'Resultados Oficiales Fase de Gr'!$G$3)</f>
        <v>0</v>
      </c>
      <c r="D12" s="85" t="str">
        <f>IF('Pollas Fase de Grupos'!F12&gt;'Pollas Fase de Grupos'!G12,'Pollas Fase de Grupos'!$F$2,IF('Pollas Fase de Grupos'!G12&gt;'Pollas Fase de Grupos'!F12,'Pollas Fase de Grupos'!$G$2,"EMPATE"))</f>
        <v>Senegal</v>
      </c>
      <c r="E12" s="4">
        <f>PUNTAJE_GANADORES('Pollas Fase de Grupos'!F12,'Resultados Oficiales Fase de Gr'!$D$4,'Pollas Fase de Grupos'!G12,'Resultados Oficiales Fase de Gr'!$E$4,D12,'Resultados Oficiales Fase de Gr'!$G$4)</f>
        <v>0</v>
      </c>
      <c r="F12" s="85" t="str">
        <f>IF('Pollas Fase de Grupos'!H12&gt;'Pollas Fase de Grupos'!I12,'Pollas Fase de Grupos'!$H$2,IF('Pollas Fase de Grupos'!I12&gt;'Pollas Fase de Grupos'!H12,'Pollas Fase de Grupos'!$I$2,"EMPATE"))</f>
        <v>EMPATE</v>
      </c>
      <c r="G12" s="4">
        <f>PUNTAJE_GANADORES('Pollas Fase de Grupos'!H12,'Resultados Oficiales Fase de Gr'!$D$5,'Pollas Fase de Grupos'!I12,'Resultados Oficiales Fase de Gr'!$E$5,F12,'Resultados Oficiales Fase de Gr'!$G$5)</f>
        <v>1</v>
      </c>
      <c r="H12" s="85" t="str">
        <f>IF('Pollas Fase de Grupos'!J12&gt;'Pollas Fase de Grupos'!K12,'Pollas Fase de Grupos'!$J$2,IF('Pollas Fase de Grupos'!K12&gt;'Pollas Fase de Grupos'!J12,'Pollas Fase de Grupos'!$K$2,"EMPATE"))</f>
        <v>Paises Bajos</v>
      </c>
      <c r="I12" s="4">
        <f>PUNTAJE_GANADORES('Pollas Fase de Grupos'!J12,'Resultados Oficiales Fase de Gr'!$D$6,'Pollas Fase de Grupos'!K12,'Resultados Oficiales Fase de Gr'!$E$6,H12,'Resultados Oficiales Fase de Gr'!$G$6)</f>
        <v>0</v>
      </c>
      <c r="J12" s="85" t="str">
        <f>IF('Pollas Fase de Grupos'!L12&gt;'Pollas Fase de Grupos'!M12,'Pollas Fase de Grupos'!$L$2,IF('Pollas Fase de Grupos'!M12&gt;'Pollas Fase de Grupos'!L12,'Pollas Fase de Grupos'!$M$2,"EMPATE"))</f>
        <v>Qatar</v>
      </c>
      <c r="K12" s="4">
        <f>PUNTAJE_GANADORES('Pollas Fase de Grupos'!L12,'Resultados Oficiales Fase de Gr'!$D$7,'Pollas Fase de Grupos'!M12,'Resultados Oficiales Fase de Gr'!$E$7,J12,'Resultados Oficiales Fase de Gr'!$G$7)</f>
        <v>0</v>
      </c>
      <c r="L12" s="85" t="str">
        <f>IF('Pollas Fase de Grupos'!N12&gt;'Pollas Fase de Grupos'!O12,'Pollas Fase de Grupos'!$N$2,IF('Pollas Fase de Grupos'!O12&gt;'Pollas Fase de Grupos'!N12,'Pollas Fase de Grupos'!$O$2,"EMPATE"))</f>
        <v>Ecuador</v>
      </c>
      <c r="M12" s="85">
        <f>PUNTAJE_GANADORES('Pollas Fase de Grupos'!N12,'Resultados Oficiales Fase de Gr'!$D$8,'Pollas Fase de Grupos'!O12,'Resultados Oficiales Fase de Gr'!$E$8,L12,'Resultados Oficiales Fase de Gr'!$G$8)</f>
        <v>0</v>
      </c>
      <c r="N12" s="85" t="str">
        <f>IF('Pollas Fase de Grupos'!P12&gt;'Pollas Fase de Grupos'!Q12,'Pollas Fase de Grupos'!$P$2,IF('Pollas Fase de Grupos'!Q12&gt;'Pollas Fase de Grupos'!P12,'Pollas Fase de Grupos'!$Q$2,"EMPATE"))</f>
        <v>Iran</v>
      </c>
      <c r="O12" s="85">
        <f>PUNTAJE_GANADORES('Pollas Fase de Grupos'!P12,'Resultados Oficiales Fase de Gr'!$D$11,'Pollas Fase de Grupos'!Q12,'Resultados Oficiales Fase de Gr'!$E$11,N12,'Resultados Oficiales Fase de Gr'!$G$11)</f>
        <v>0</v>
      </c>
      <c r="P12" s="4" t="str">
        <f>IF('Pollas Fase de Grupos'!R12&gt;'Pollas Fase de Grupos'!S12,'Pollas Fase de Grupos'!$R$2,IF('Pollas Fase de Grupos'!S12&gt;'Pollas Fase de Grupos'!R12,'Pollas Fase de Grupos'!$S$2,"EMPATE"))</f>
        <v>Gales</v>
      </c>
      <c r="Q12" s="85">
        <f>PUNTAJE_GANADORES('Pollas Fase de Grupos'!R12,'Resultados Oficiales Fase de Gr'!$D$12,'Pollas Fase de Grupos'!S12,'Resultados Oficiales Fase de Gr'!$E$12,P12,'Resultados Oficiales Fase de Gr'!$G$12)</f>
        <v>1</v>
      </c>
      <c r="R12" s="85" t="str">
        <f>IF('Pollas Fase de Grupos'!T12&gt;'Pollas Fase de Grupos'!U12,'Pollas Fase de Grupos'!$T$2,IF('Pollas Fase de Grupos'!U12&gt;'Pollas Fase de Grupos'!T12,'Pollas Fase de Grupos'!$U$2,"EMPATE"))</f>
        <v>Inglaterra</v>
      </c>
      <c r="S12" s="4">
        <f>PUNTAJE_GANADORES('Pollas Fase de Grupos'!T12,'Resultados Oficiales Fase de Gr'!$D$13,'Pollas Fase de Grupos'!U12,'Resultados Oficiales Fase de Gr'!$E$13,R12,'Resultados Oficiales Fase de Gr'!$G$13)</f>
        <v>1</v>
      </c>
      <c r="T12" s="85" t="str">
        <f>IF('Pollas Fase de Grupos'!V12&gt;'Pollas Fase de Grupos'!W12,'Pollas Fase de Grupos'!$V$2,IF('Pollas Fase de Grupos'!W12&gt;'Pollas Fase de Grupos'!V12,'Pollas Fase de Grupos'!$W$2,"EMPATE"))</f>
        <v>Gales</v>
      </c>
      <c r="U12" s="86">
        <f>PUNTAJE_GANADORES('Pollas Fase de Grupos'!V12,'Resultados Oficiales Fase de Gr'!$D$14,'Pollas Fase de Grupos'!W12,'Resultados Oficiales Fase de Gr'!$E$14,T12,'Resultados Oficiales Fase de Gr'!$G$14)</f>
        <v>0</v>
      </c>
      <c r="V12" s="85" t="str">
        <f>IF('Pollas Fase de Grupos'!X12&gt;'Pollas Fase de Grupos'!Y12,'Pollas Fase de Grupos'!$X$2,IF('Pollas Fase de Grupos'!Y12&gt;'Pollas Fase de Grupos'!X12,'Pollas Fase de Grupos'!$Y$2,"EMPATE"))</f>
        <v>Inglaterra</v>
      </c>
      <c r="W12" s="85">
        <f>PUNTAJE_GANADORES('Pollas Fase de Grupos'!X12,'Resultados Oficiales Fase de Gr'!$D$15,'Pollas Fase de Grupos'!Y12,'Resultados Oficiales Fase de Gr'!$E$15,V12,'Resultados Oficiales Fase de Gr'!$G$15)</f>
        <v>3</v>
      </c>
      <c r="X12" s="88" t="str">
        <f>IF('Pollas Fase de Grupos'!Z12&gt;'Pollas Fase de Grupos'!AA12,'Pollas Fase de Grupos'!$Z$2,IF('Pollas Fase de Grupos'!AA12&gt;'Pollas Fase de Grupos'!Z12,'Pollas Fase de Grupos'!$AA$2,"EMPATE"))</f>
        <v>Iran</v>
      </c>
      <c r="Y12" s="87">
        <f>PUNTAJE_GANADORES('Pollas Fase de Grupos'!Z12,'Resultados Oficiales Fase de Gr'!$D$16,'Pollas Fase de Grupos'!AA12,'Resultados Oficiales Fase de Gr'!$E$16,X12,'Resultados Oficiales Fase de Gr'!$G$16)</f>
        <v>1</v>
      </c>
      <c r="Z12" s="85" t="str">
        <f>IF('Pollas Fase de Grupos'!AB12&gt;'Pollas Fase de Grupos'!AC12,'Pollas Fase de Grupos'!$AB$2,IF('Pollas Fase de Grupos'!AC12&gt;'Pollas Fase de Grupos'!AB12,'Pollas Fase de Grupos'!$AC$2,"EMPATE"))</f>
        <v>Argentina</v>
      </c>
      <c r="AA12" s="85">
        <f>PUNTAJE_GANADORES('Pollas Fase de Grupos'!AB12,'Resultados Oficiales Fase de Gr'!$D$19,'Pollas Fase de Grupos'!AC12,'Resultados Oficiales Fase de Gr'!$E$19,Z12,'Resultados Oficiales Fase de Gr'!$G$19)</f>
        <v>0</v>
      </c>
      <c r="AB12" s="85" t="str">
        <f>IF('Pollas Fase de Grupos'!AD12&gt;'Pollas Fase de Grupos'!AE12,'Pollas Fase de Grupos'!$AD$2,IF('Pollas Fase de Grupos'!AE12&gt;'Pollas Fase de Grupos'!AD12,'Pollas Fase de Grupos'!$AE$2,"EMPATE"))</f>
        <v>Mexico</v>
      </c>
      <c r="AC12" s="85">
        <f>PUNTAJE_GANADORES('Pollas Fase de Grupos'!AD12,'Resultados Oficiales Fase de Gr'!$D$20,'Pollas Fase de Grupos'!AE12,'Resultados Oficiales Fase de Gr'!$E$20,AB12,'Resultados Oficiales Fase de Gr'!$G$20)</f>
        <v>0</v>
      </c>
      <c r="AD12" s="85" t="str">
        <f>IF('Pollas Fase de Grupos'!AF12&gt;'Pollas Fase de Grupos'!AG12,'Pollas Fase de Grupos'!$AF$2,IF('Pollas Fase de Grupos'!AG12&gt;'Pollas Fase de Grupos'!AF12,'Pollas Fase de Grupos'!$AG$2,"EMPATE"))</f>
        <v>Argentina</v>
      </c>
      <c r="AE12" s="85">
        <f>PUNTAJE_GANADORES('Pollas Fase de Grupos'!AF12,'Resultados Oficiales Fase de Gr'!$D$21,'Pollas Fase de Grupos'!AG12,'Resultados Oficiales Fase de Gr'!$E$21,AD12,'Resultados Oficiales Fase de Gr'!$G$21)</f>
        <v>3</v>
      </c>
      <c r="AF12" s="85" t="str">
        <f>IF('Pollas Fase de Grupos'!AH12&gt;'Pollas Fase de Grupos'!AI12,'Pollas Fase de Grupos'!$AH$2,IF('Pollas Fase de Grupos'!AI12&gt;'Pollas Fase de Grupos'!AH12,'Pollas Fase de Grupos'!$AI$2,"EMPATE"))</f>
        <v>Arabia Saudita</v>
      </c>
      <c r="AG12" s="85">
        <f>PUNTAJE_GANADORES('Pollas Fase de Grupos'!AH12,'Resultados Oficiales Fase de Gr'!$D$22,'Pollas Fase de Grupos'!AI12,'Resultados Oficiales Fase de Gr'!$E$22,AF12,'Resultados Oficiales Fase de Gr'!$G$22)</f>
        <v>0</v>
      </c>
      <c r="AH12" s="85" t="str">
        <f>IF('Pollas Fase de Grupos'!AJ12&gt;'Pollas Fase de Grupos'!AK12,'Pollas Fase de Grupos'!$AJ$2,IF('Pollas Fase de Grupos'!AK12&gt;'Pollas Fase de Grupos'!AJ12,'Pollas Fase de Grupos'!$AK$2,"EMPATE"))</f>
        <v>EMPATE</v>
      </c>
      <c r="AI12" s="85">
        <f>PUNTAJE_GANADORES('Pollas Fase de Grupos'!AJ12,'Resultados Oficiales Fase de Gr'!$D$23,'Pollas Fase de Grupos'!AK12,'Resultados Oficiales Fase de Gr'!$E$23,AH12,'Resultados Oficiales Fase de Gr'!$G$23)</f>
        <v>1</v>
      </c>
      <c r="AJ12" s="85" t="str">
        <f>IF('Pollas Fase de Grupos'!AL12&gt;'Pollas Fase de Grupos'!AM12,'Pollas Fase de Grupos'!$AL$2,IF('Pollas Fase de Grupos'!AM12&gt;'Pollas Fase de Grupos'!AL12,'Pollas Fase de Grupos'!$AM$2,"EMPATE"))</f>
        <v>Mexico</v>
      </c>
      <c r="AK12" s="85">
        <f>PUNTAJE_GANADORES('Pollas Fase de Grupos'!AL12,'Resultados Oficiales Fase de Gr'!$D$24,'Pollas Fase de Grupos'!AM12,'Resultados Oficiales Fase de Gr'!$E$24,AJ12,'Resultados Oficiales Fase de Gr'!$G$24)</f>
        <v>3</v>
      </c>
      <c r="AL12" s="85" t="str">
        <f>IF('Pollas Fase de Grupos'!AN12&gt;'Pollas Fase de Grupos'!AO12,'Pollas Fase de Grupos'!$AN$2,IF('Pollas Fase de Grupos'!AO12&gt;'Pollas Fase de Grupos'!AN12,'Pollas Fase de Grupos'!$AO$2,"EMPATE"))</f>
        <v>Francia</v>
      </c>
      <c r="AM12" s="85">
        <f>PUNTAJE_GANADORES('Pollas Fase de Grupos'!AN12,'Resultados Oficiales Fase de Gr'!$D$27,'Pollas Fase de Grupos'!AO12,'Resultados Oficiales Fase de Gr'!$E$27,AL12,'Resultados Oficiales Fase de Gr'!$G$27)</f>
        <v>3</v>
      </c>
      <c r="AN12" s="85" t="str">
        <f>IF('Pollas Fase de Grupos'!AP12&gt;'Pollas Fase de Grupos'!AQ12,'Pollas Fase de Grupos'!$AP$2,IF('Pollas Fase de Grupos'!AQ12&gt;'Pollas Fase de Grupos'!AP12,'Pollas Fase de Grupos'!$AQ$2,"EMPATE"))</f>
        <v>Dinamarca</v>
      </c>
      <c r="AO12" s="85">
        <f>PUNTAJE_GANADORES('Pollas Fase de Grupos'!AP12,'Resultados Oficiales Fase de Gr'!$D$28,'Pollas Fase de Grupos'!AQ12,'Resultados Oficiales Fase de Gr'!$E$28,AN12,'Resultados Oficiales Fase de Gr'!$G$28)</f>
        <v>0</v>
      </c>
      <c r="AP12" s="85" t="str">
        <f>IF('Pollas Fase de Grupos'!AR12&gt;'Pollas Fase de Grupos'!AS12,'Pollas Fase de Grupos'!$AR$2,IF('Pollas Fase de Grupos'!AS12&gt;'Pollas Fase de Grupos'!AR12,'Pollas Fase de Grupos'!$AS$2,"EMPATE"))</f>
        <v>EMPATE</v>
      </c>
      <c r="AQ12" s="85">
        <f>PUNTAJE_GANADORES('Pollas Fase de Grupos'!AR12,'Resultados Oficiales Fase de Gr'!$D$29,'Pollas Fase de Grupos'!AS12,'Resultados Oficiales Fase de Gr'!$E$29,AP12,'Resultados Oficiales Fase de Gr'!$G$29)</f>
        <v>0</v>
      </c>
      <c r="AR12" s="85" t="str">
        <f>IF('Pollas Fase de Grupos'!AT12&gt;'Pollas Fase de Grupos'!AU12,'Pollas Fase de Grupos'!$AT$2,IF('Pollas Fase de Grupos'!AU12&gt;'Pollas Fase de Grupos'!AT12,'Pollas Fase de Grupos'!$AU$2,"EMPATE"))</f>
        <v>Australia</v>
      </c>
      <c r="AS12" s="85">
        <f>PUNTAJE_GANADORES('Pollas Fase de Grupos'!AT12,'Resultados Oficiales Fase de Gr'!$D$30,'Pollas Fase de Grupos'!AU12,'Resultados Oficiales Fase de Gr'!$E$30,AR12,'Resultados Oficiales Fase de Gr'!$G$30)</f>
        <v>2</v>
      </c>
      <c r="AT12" s="85" t="str">
        <f>IF('Pollas Fase de Grupos'!AV12&gt;'Pollas Fase de Grupos'!AW12,'Pollas Fase de Grupos'!$AV$2,IF('Pollas Fase de Grupos'!AW12&gt;'Pollas Fase de Grupos'!AV12,'Pollas Fase de Grupos'!$AW$2,"EMPATE"))</f>
        <v>Francia</v>
      </c>
      <c r="AU12" s="85">
        <f>PUNTAJE_GANADORES('Pollas Fase de Grupos'!AV12,'Resultados Oficiales Fase de Gr'!$D$31,'Pollas Fase de Grupos'!AW12,'Resultados Oficiales Fase de Gr'!$E$31,AT12,'Resultados Oficiales Fase de Gr'!$G$31)</f>
        <v>0</v>
      </c>
      <c r="AV12" s="85" t="str">
        <f>IF('Pollas Fase de Grupos'!AX12&gt;'Pollas Fase de Grupos'!AY12,'Pollas Fase de Grupos'!$AX$2,IF('Pollas Fase de Grupos'!AY12&gt;'Pollas Fase de Grupos'!AX12,'Pollas Fase de Grupos'!$AY$2,"EMPATE"))</f>
        <v>Dinamarca</v>
      </c>
      <c r="AW12" s="85">
        <f>PUNTAJE_GANADORES('Pollas Fase de Grupos'!AX12,'Resultados Oficiales Fase de Gr'!$D$32,'Pollas Fase de Grupos'!AY12,'Resultados Oficiales Fase de Gr'!$E$32,AV12,'Resultados Oficiales Fase de Gr'!$G$32)</f>
        <v>1</v>
      </c>
      <c r="AX12" s="85" t="str">
        <f>IF('Pollas Fase de Grupos'!AZ12&gt;'Pollas Fase de Grupos'!BA12,'Pollas Fase de Grupos'!$AZ$2,IF('Pollas Fase de Grupos'!BA12&gt;'Pollas Fase de Grupos'!AZ12,'Pollas Fase de Grupos'!$BA$2,"EMPATE"))</f>
        <v>Costa Rica</v>
      </c>
      <c r="AY12" s="85">
        <f>PUNTAJE_GANADORES('Pollas Fase de Grupos'!AZ12,'Resultados Oficiales Fase de Gr'!$D$35,'Pollas Fase de Grupos'!BA12,'Resultados Oficiales Fase de Gr'!$E$35,AX12,'Resultados Oficiales Fase de Gr'!$G$35)</f>
        <v>0</v>
      </c>
      <c r="AZ12" s="85" t="str">
        <f>IF('Pollas Fase de Grupos'!BB12&gt;'Pollas Fase de Grupos'!BC12,'Pollas Fase de Grupos'!$BB$2,IF('Pollas Fase de Grupos'!BC12&gt;'Pollas Fase de Grupos'!BB12,'Pollas Fase de Grupos'!$BC$2,"EMPATE"))</f>
        <v>Alemania</v>
      </c>
      <c r="BA12" s="85">
        <f>PUNTAJE_GANADORES('Pollas Fase de Grupos'!BB12,'Resultados Oficiales Fase de Gr'!$D$36,'Pollas Fase de Grupos'!BC12,'Resultados Oficiales Fase de Gr'!$E$36,AZ12,'Resultados Oficiales Fase de Gr'!$G$36)</f>
        <v>0</v>
      </c>
      <c r="BB12" s="85" t="str">
        <f>IF('Pollas Fase de Grupos'!BD12&gt;'Pollas Fase de Grupos'!BE12,'Pollas Fase de Grupos'!$BD$2,IF('Pollas Fase de Grupos'!BE12&gt;'Pollas Fase de Grupos'!BD12,'Pollas Fase de Grupos'!$BE$2,"EMPATE"))</f>
        <v>Alemania</v>
      </c>
      <c r="BC12" s="85">
        <f>PUNTAJE_GANADORES('Pollas Fase de Grupos'!BD12,'Resultados Oficiales Fase de Gr'!$D$37,'Pollas Fase de Grupos'!BE12,'Resultados Oficiales Fase de Gr'!$E$37,BB12,'Resultados Oficiales Fase de Gr'!$G$37)</f>
        <v>0</v>
      </c>
      <c r="BD12" s="85" t="str">
        <f>IF('Pollas Fase de Grupos'!BF12&gt;'Pollas Fase de Grupos'!BG12,'Pollas Fase de Grupos'!$BF$2,IF('Pollas Fase de Grupos'!BG12&gt;'Pollas Fase de Grupos'!BF12,'Pollas Fase de Grupos'!$BG$2,"EMPATE"))</f>
        <v>Japon</v>
      </c>
      <c r="BE12" s="85">
        <f>PUNTAJE_GANADORES('Pollas Fase de Grupos'!BF12,'Resultados Oficiales Fase de Gr'!$D$38,'Pollas Fase de Grupos'!BG12,'Resultados Oficiales Fase de Gr'!$E$38,BD12,'Resultados Oficiales Fase de Gr'!$G$38)</f>
        <v>0</v>
      </c>
      <c r="BF12" s="85" t="str">
        <f>IF('Pollas Fase de Grupos'!BH12&gt;'Pollas Fase de Grupos'!BI12,'Pollas Fase de Grupos'!$BH$2,IF('Pollas Fase de Grupos'!BI12&gt;'Pollas Fase de Grupos'!BH12,'Pollas Fase de Grupos'!$BI$2,"EMPATE"))</f>
        <v>EMPATE</v>
      </c>
      <c r="BG12" s="85">
        <f>PUNTAJE_GANADORES('Pollas Fase de Grupos'!BH12,'Resultados Oficiales Fase de Gr'!$D$39,'Pollas Fase de Grupos'!BI12,'Resultados Oficiales Fase de Gr'!$E$39,BF12,'Resultados Oficiales Fase de Gr'!$G$39)</f>
        <v>0</v>
      </c>
      <c r="BH12" s="85" t="str">
        <f>IF('Pollas Fase de Grupos'!BJ12&gt;'Pollas Fase de Grupos'!BK12,'Pollas Fase de Grupos'!$BJ$2,IF('Pollas Fase de Grupos'!BK12&gt;'Pollas Fase de Grupos'!BJ12,'Pollas Fase de Grupos'!$BK$2,"EMPATE"))</f>
        <v>Alemania</v>
      </c>
      <c r="BI12" s="85">
        <f>PUNTAJE_GANADORES('Pollas Fase de Grupos'!BJ12,'Resultados Oficiales Fase de Gr'!$D$40,'Pollas Fase de Grupos'!BK12,'Resultados Oficiales Fase de Gr'!$E$40,BH12,'Resultados Oficiales Fase de Gr'!$G$40)</f>
        <v>2</v>
      </c>
      <c r="BJ12" s="85" t="str">
        <f>IF('Pollas Fase de Grupos'!BL12&gt;'Pollas Fase de Grupos'!BM12,'Pollas Fase de Grupos'!$BL$2,IF('Pollas Fase de Grupos'!BM12&gt;'Pollas Fase de Grupos'!BL12,'Pollas Fase de Grupos'!$BM$2,"EMPATE"))</f>
        <v>Belgica</v>
      </c>
      <c r="BK12" s="85">
        <f>PUNTAJE_GANADORES('Pollas Fase de Grupos'!BL12,'Resultados Oficiales Fase de Gr'!$D$43,'Pollas Fase de Grupos'!BM12,'Resultados Oficiales Fase de Gr'!$E$43,BJ12,'Resultados Oficiales Fase de Gr'!$G$43)</f>
        <v>3</v>
      </c>
      <c r="BL12" s="85" t="str">
        <f>IF('Pollas Fase de Grupos'!BN12&gt;'Pollas Fase de Grupos'!BO12,'Pollas Fase de Grupos'!$BN$2,IF('Pollas Fase de Grupos'!BO12&gt;'Pollas Fase de Grupos'!BN12,'Pollas Fase de Grupos'!$BO$2,"EMPATE"))</f>
        <v>Marruecos</v>
      </c>
      <c r="BM12" s="85">
        <f>PUNTAJE_GANADORES('Pollas Fase de Grupos'!BN12,'Resultados Oficiales Fase de Gr'!$D$44,'Pollas Fase de Grupos'!BO12,'Resultados Oficiales Fase de Gr'!$E$44,BL12,'Resultados Oficiales Fase de Gr'!$G$44)</f>
        <v>0</v>
      </c>
      <c r="BN12" s="85" t="str">
        <f>IF('Pollas Fase de Grupos'!BP12&gt;'Pollas Fase de Grupos'!BQ12,'Pollas Fase de Grupos'!$BP$2,IF('Pollas Fase de Grupos'!BQ12&gt;'Pollas Fase de Grupos'!BP12,'Pollas Fase de Grupos'!$BQ$2,"EMPATE"))</f>
        <v>Belgica</v>
      </c>
      <c r="BO12" s="85">
        <f>PUNTAJE_GANADORES('Pollas Fase de Grupos'!BP12,'Resultados Oficiales Fase de Gr'!$D$45,'Pollas Fase de Grupos'!BQ12,'Resultados Oficiales Fase de Gr'!$E$45,BN12,'Resultados Oficiales Fase de Gr'!$G$45)</f>
        <v>0</v>
      </c>
      <c r="BP12" s="85" t="str">
        <f>IF('Pollas Fase de Grupos'!BR12&gt;'Pollas Fase de Grupos'!BS12,'Pollas Fase de Grupos'!$BR$2,IF('Pollas Fase de Grupos'!BS12&gt;'Pollas Fase de Grupos'!BR12,'Pollas Fase de Grupos'!$BS$2,"EMPATE"))</f>
        <v>Canada</v>
      </c>
      <c r="BQ12" s="85">
        <f>PUNTAJE_GANADORES('Pollas Fase de Grupos'!BR12,'Resultados Oficiales Fase de Gr'!$D$46,'Pollas Fase de Grupos'!BS12,'Resultados Oficiales Fase de Gr'!$E$46,BP12,'Resultados Oficiales Fase de Gr'!$G$46)</f>
        <v>1</v>
      </c>
      <c r="BR12" s="85" t="str">
        <f>IF('Pollas Fase de Grupos'!BT12&gt;'Pollas Fase de Grupos'!BU12,'Pollas Fase de Grupos'!$BT$2,IF('Pollas Fase de Grupos'!BU12&gt;'Pollas Fase de Grupos'!BT12,'Pollas Fase de Grupos'!$BU$2,"EMPATE"))</f>
        <v>Belgica</v>
      </c>
      <c r="BS12" s="85">
        <f>PUNTAJE_GANADORES('Pollas Fase de Grupos'!BT12,'Resultados Oficiales Fase de Gr'!$D$47,'Pollas Fase de Grupos'!BU12,'Resultados Oficiales Fase de Gr'!$E$47,BR12,'Resultados Oficiales Fase de Gr'!$G$47)</f>
        <v>0</v>
      </c>
      <c r="BT12" s="85" t="str">
        <f>IF('Pollas Fase de Grupos'!BV12&gt;'Pollas Fase de Grupos'!BW12,'Pollas Fase de Grupos'!$BV$2,IF('Pollas Fase de Grupos'!BW12&gt;'Pollas Fase de Grupos'!BV12,'Pollas Fase de Grupos'!$BW$2,"EMPATE"))</f>
        <v>EMPATE</v>
      </c>
      <c r="BU12" s="85">
        <f>PUNTAJE_GANADORES('Pollas Fase de Grupos'!BV12,'Resultados Oficiales Fase de Gr'!$D$48,'Pollas Fase de Grupos'!BW12,'Resultados Oficiales Fase de Gr'!$E$48,BT12,'Resultados Oficiales Fase de Gr'!$G$48)</f>
        <v>1</v>
      </c>
      <c r="BV12" s="85" t="str">
        <f>IF('Pollas Fase de Grupos'!BX12&gt;'Pollas Fase de Grupos'!BY12,'Pollas Fase de Grupos'!$BX$2,IF('Pollas Fase de Grupos'!BY12&gt;'Pollas Fase de Grupos'!BX12,'Pollas Fase de Grupos'!$BY$2,"EMPATE"))</f>
        <v>Brasil</v>
      </c>
      <c r="BW12" s="85">
        <f>PUNTAJE_GANADORES('Pollas Fase de Grupos'!BX12,'Resultados Oficiales Fase de Gr'!$D$51,'Pollas Fase de Grupos'!BY12,'Resultados Oficiales Fase de Gr'!$E$51,BV12,'Resultados Oficiales Fase de Gr'!$G$51)</f>
        <v>2</v>
      </c>
      <c r="BX12" s="85" t="str">
        <f>IF('Pollas Fase de Grupos'!BZ12&gt;'Pollas Fase de Grupos'!CA12,'Pollas Fase de Grupos'!$BZ$2,IF('Pollas Fase de Grupos'!CA12&gt;'Pollas Fase de Grupos'!BZ12,'Pollas Fase de Grupos'!$CA$2,"EMPATE"))</f>
        <v>Suiza</v>
      </c>
      <c r="BY12" s="85">
        <f>PUNTAJE_GANADORES('Pollas Fase de Grupos'!BZ12,'Resultados Oficiales Fase de Gr'!$D$52,'Pollas Fase de Grupos'!CA12,'Resultados Oficiales Fase de Gr'!$E$52,BX12,'Resultados Oficiales Fase de Gr'!$G$52)</f>
        <v>3</v>
      </c>
      <c r="BZ12" s="85" t="str">
        <f>IF('Pollas Fase de Grupos'!CB12&gt;'Pollas Fase de Grupos'!CC12,'Pollas Fase de Grupos'!$CB$2,IF('Pollas Fase de Grupos'!CC12&gt;'Pollas Fase de Grupos'!CB12,'Pollas Fase de Grupos'!$CC$2,"EMPATE"))</f>
        <v>Brasil</v>
      </c>
      <c r="CA12" s="85">
        <f>PUNTAJE_GANADORES('Pollas Fase de Grupos'!CB12,'Resultados Oficiales Fase de Gr'!$D$53,'Pollas Fase de Grupos'!CC12,'Resultados Oficiales Fase de Gr'!$E$53,BZ12,'Resultados Oficiales Fase de Gr'!$G$53)</f>
        <v>3</v>
      </c>
      <c r="CB12" s="85" t="str">
        <f>IF('Pollas Fase de Grupos'!CD12&gt;'Pollas Fase de Grupos'!CE12,'Pollas Fase de Grupos'!$CD$2,IF('Pollas Fase de Grupos'!CE12&gt;'Pollas Fase de Grupos'!CD12,'Pollas Fase de Grupos'!$CE$2,"EMPATE"))</f>
        <v>EMPATE</v>
      </c>
      <c r="CC12" s="85">
        <f>PUNTAJE_GANADORES('Pollas Fase de Grupos'!CD12,'Resultados Oficiales Fase de Gr'!$D$54,'Pollas Fase de Grupos'!CE12,'Resultados Oficiales Fase de Gr'!$E$54,CB12,'Resultados Oficiales Fase de Gr'!$G$54)</f>
        <v>1</v>
      </c>
      <c r="CD12" s="85" t="str">
        <f>IF('Pollas Fase de Grupos'!CF12&gt;'Pollas Fase de Grupos'!CG12,'Pollas Fase de Grupos'!$CF$2,IF('Pollas Fase de Grupos'!CG12&gt;'Pollas Fase de Grupos'!CF12,'Pollas Fase de Grupos'!$CG$2,"EMPATE"))</f>
        <v>EMPATE</v>
      </c>
      <c r="CE12" s="85">
        <f>PUNTAJE_GANADORES('Pollas Fase de Grupos'!CF12,'Resultados Oficiales Fase de Gr'!$D$55,'Pollas Fase de Grupos'!CG12,'Resultados Oficiales Fase de Gr'!$E$55,CD12,'Resultados Oficiales Fase de Gr'!$G$55)</f>
        <v>0</v>
      </c>
      <c r="CF12" s="85" t="str">
        <f>IF('Pollas Fase de Grupos'!CH12&gt;'Pollas Fase de Grupos'!CI12,'Pollas Fase de Grupos'!$CH$2,IF('Pollas Fase de Grupos'!CI12&gt;'Pollas Fase de Grupos'!CH12,'Pollas Fase de Grupos'!$CI$2,"EMPATE"))</f>
        <v>Suiza</v>
      </c>
      <c r="CG12" s="85">
        <f>PUNTAJE_GANADORES('Pollas Fase de Grupos'!CH12,'Resultados Oficiales Fase de Gr'!$D$56,'Pollas Fase de Grupos'!CI12,'Resultados Oficiales Fase de Gr'!$E$56,CF12,'Resultados Oficiales Fase de Gr'!$G$56)</f>
        <v>2</v>
      </c>
      <c r="CH12" s="85" t="str">
        <f>IF('Pollas Fase de Grupos'!CJ12&gt;'Pollas Fase de Grupos'!CK12,'Pollas Fase de Grupos'!$CJ$2,IF('Pollas Fase de Grupos'!CK12&gt;'Pollas Fase de Grupos'!CJ12,'Pollas Fase de Grupos'!$CK$2,"EMPATE"))</f>
        <v>Portugal</v>
      </c>
      <c r="CI12" s="85">
        <f>PUNTAJE_GANADORES('Pollas Fase de Grupos'!CJ12,'Resultados Oficiales Fase de Gr'!$D$59,'Pollas Fase de Grupos'!CK12,'Resultados Oficiales Fase de Gr'!$E$59,CH12,'Resultados Oficiales Fase de Gr'!$G$59)</f>
        <v>3</v>
      </c>
      <c r="CJ12" s="85" t="str">
        <f>IF('Pollas Fase de Grupos'!CL12&gt;'Pollas Fase de Grupos'!CM12,'Pollas Fase de Grupos'!$CL$2,IF('Pollas Fase de Grupos'!CM12&gt;'Pollas Fase de Grupos'!CL12,'Pollas Fase de Grupos'!$CM$2,"EMPATE"))</f>
        <v>Uruguay</v>
      </c>
      <c r="CK12" s="85">
        <f>PUNTAJE_GANADORES('Pollas Fase de Grupos'!CL12,'Resultados Oficiales Fase de Gr'!$D$60,'Pollas Fase de Grupos'!CM12,'Resultados Oficiales Fase de Gr'!$E$60,CJ12,'Resultados Oficiales Fase de Gr'!$G$60)</f>
        <v>1</v>
      </c>
      <c r="CL12" s="85" t="str">
        <f>IF('Pollas Fase de Grupos'!CN12&gt;'Pollas Fase de Grupos'!CO12,'Pollas Fase de Grupos'!$CN$2,IF('Pollas Fase de Grupos'!CO12&gt;'Pollas Fase de Grupos'!CN12,'Pollas Fase de Grupos'!$CO$2,"EMPATE"))</f>
        <v>EMPATE</v>
      </c>
      <c r="CM12" s="85">
        <f>PUNTAJE_GANADORES('Pollas Fase de Grupos'!CN12,'Resultados Oficiales Fase de Gr'!$D$61,'Pollas Fase de Grupos'!CO12,'Resultados Oficiales Fase de Gr'!$E$61,CL12,'Resultados Oficiales Fase de Gr'!$G$61)</f>
        <v>0</v>
      </c>
      <c r="CN12" s="85" t="str">
        <f>IF('Pollas Fase de Grupos'!CP12&gt;'Pollas Fase de Grupos'!CQ12,'Pollas Fase de Grupos'!$CP$2,IF('Pollas Fase de Grupos'!CQ12&gt;'Pollas Fase de Grupos'!CP12,'Pollas Fase de Grupos'!$CQ$2,"EMPATE"))</f>
        <v>Ghana</v>
      </c>
      <c r="CO12" s="85">
        <f>PUNTAJE_GANADORES('Pollas Fase de Grupos'!CP12,'Resultados Oficiales Fase de Gr'!$D$62,'Pollas Fase de Grupos'!CQ12,'Resultados Oficiales Fase de Gr'!$E$62,CN12,'Resultados Oficiales Fase de Gr'!$G$62)</f>
        <v>2</v>
      </c>
      <c r="CP12" s="85" t="str">
        <f>IF('Pollas Fase de Grupos'!CR12&gt;'Pollas Fase de Grupos'!CS12,'Pollas Fase de Grupos'!$CR$2,IF('Pollas Fase de Grupos'!CS12&gt;'Pollas Fase de Grupos'!CR12,'Pollas Fase de Grupos'!$CS$2,"EMPATE"))</f>
        <v>Portugal</v>
      </c>
      <c r="CQ12" s="85">
        <f>PUNTAJE_GANADORES('Pollas Fase de Grupos'!CR12,'Resultados Oficiales Fase de Gr'!$D$63,'Pollas Fase de Grupos'!CS12,'Resultados Oficiales Fase de Gr'!$E$63,CP12,'Resultados Oficiales Fase de Gr'!$G$63)</f>
        <v>1</v>
      </c>
      <c r="CR12" s="85" t="str">
        <f>IF('Pollas Fase de Grupos'!CT12&gt;'Pollas Fase de Grupos'!CU12,'Pollas Fase de Grupos'!$CT$2,IF('Pollas Fase de Grupos'!CU12&gt;'Pollas Fase de Grupos'!CT12,'Pollas Fase de Grupos'!$CU$2,"EMPATE"))</f>
        <v>Uruguay</v>
      </c>
      <c r="CS12" s="85">
        <f>PUNTAJE_GANADORES('Pollas Fase de Grupos'!CT12,'Resultados Oficiales Fase de Gr'!$D$64,'Pollas Fase de Grupos'!CU12,'Resultados Oficiales Fase de Gr'!$E$64,CR12,'Resultados Oficiales Fase de Gr'!$G$64)</f>
        <v>3</v>
      </c>
      <c r="CT12" s="4">
        <f t="shared" si="1"/>
        <v>48</v>
      </c>
      <c r="CU12" s="17">
        <v>30.0</v>
      </c>
      <c r="CV12" s="3">
        <f t="shared" si="2"/>
        <v>48</v>
      </c>
    </row>
    <row r="13">
      <c r="A13" s="3" t="str">
        <f>'Pollas Fase de Grupos'!CV13</f>
        <v>Alejandro Botero</v>
      </c>
      <c r="B13" s="4" t="str">
        <f>IF('Pollas Fase de Grupos'!D13&gt;'Pollas Fase de Grupos'!E13,'Pollas Fase de Grupos'!$D$2,IF('Pollas Fase de Grupos'!E13&gt;'Pollas Fase de Grupos'!D13,'Pollas Fase de Grupos'!$E$2,"EMPATE"))</f>
        <v>Ecuador</v>
      </c>
      <c r="C13" s="4">
        <f>PUNTAJE_GANADORES('Pollas Fase de Grupos'!D13,'Resultados Oficiales Fase de Gr'!$D$3,'Pollas Fase de Grupos'!E13,'Resultados Oficiales Fase de Gr'!$E$3,B13,'Resultados Oficiales Fase de Gr'!$G$3)</f>
        <v>3</v>
      </c>
      <c r="D13" s="85" t="str">
        <f>IF('Pollas Fase de Grupos'!F13&gt;'Pollas Fase de Grupos'!G13,'Pollas Fase de Grupos'!$F$2,IF('Pollas Fase de Grupos'!G13&gt;'Pollas Fase de Grupos'!F13,'Pollas Fase de Grupos'!$G$2,"EMPATE"))</f>
        <v>EMPATE</v>
      </c>
      <c r="E13" s="4">
        <f>PUNTAJE_GANADORES('Pollas Fase de Grupos'!F13,'Resultados Oficiales Fase de Gr'!$D$4,'Pollas Fase de Grupos'!G13,'Resultados Oficiales Fase de Gr'!$E$4,D13,'Resultados Oficiales Fase de Gr'!$G$4)</f>
        <v>1</v>
      </c>
      <c r="F13" s="85" t="str">
        <f>IF('Pollas Fase de Grupos'!H13&gt;'Pollas Fase de Grupos'!I13,'Pollas Fase de Grupos'!$H$2,IF('Pollas Fase de Grupos'!I13&gt;'Pollas Fase de Grupos'!H13,'Pollas Fase de Grupos'!$I$2,"EMPATE"))</f>
        <v>Senegal</v>
      </c>
      <c r="G13" s="4">
        <f>PUNTAJE_GANADORES('Pollas Fase de Grupos'!H13,'Resultados Oficiales Fase de Gr'!$D$5,'Pollas Fase de Grupos'!I13,'Resultados Oficiales Fase de Gr'!$E$5,F13,'Resultados Oficiales Fase de Gr'!$G$5)</f>
        <v>2</v>
      </c>
      <c r="H13" s="85" t="str">
        <f>IF('Pollas Fase de Grupos'!J13&gt;'Pollas Fase de Grupos'!K13,'Pollas Fase de Grupos'!$J$2,IF('Pollas Fase de Grupos'!K13&gt;'Pollas Fase de Grupos'!J13,'Pollas Fase de Grupos'!$K$2,"EMPATE"))</f>
        <v>Paises Bajos</v>
      </c>
      <c r="I13" s="4">
        <f>PUNTAJE_GANADORES('Pollas Fase de Grupos'!J13,'Resultados Oficiales Fase de Gr'!$D$6,'Pollas Fase de Grupos'!K13,'Resultados Oficiales Fase de Gr'!$E$6,H13,'Resultados Oficiales Fase de Gr'!$G$6)</f>
        <v>1</v>
      </c>
      <c r="J13" s="85" t="str">
        <f>IF('Pollas Fase de Grupos'!L13&gt;'Pollas Fase de Grupos'!M13,'Pollas Fase de Grupos'!$L$2,IF('Pollas Fase de Grupos'!M13&gt;'Pollas Fase de Grupos'!L13,'Pollas Fase de Grupos'!$M$2,"EMPATE"))</f>
        <v>Paises Bajos</v>
      </c>
      <c r="K13" s="4">
        <f>PUNTAJE_GANADORES('Pollas Fase de Grupos'!L13,'Resultados Oficiales Fase de Gr'!$D$7,'Pollas Fase de Grupos'!M13,'Resultados Oficiales Fase de Gr'!$E$7,J13,'Resultados Oficiales Fase de Gr'!$G$7)</f>
        <v>5</v>
      </c>
      <c r="L13" s="85" t="str">
        <f>IF('Pollas Fase de Grupos'!N13&gt;'Pollas Fase de Grupos'!O13,'Pollas Fase de Grupos'!$N$2,IF('Pollas Fase de Grupos'!O13&gt;'Pollas Fase de Grupos'!N13,'Pollas Fase de Grupos'!$O$2,"EMPATE"))</f>
        <v>EMPATE</v>
      </c>
      <c r="M13" s="85">
        <f>PUNTAJE_GANADORES('Pollas Fase de Grupos'!N13,'Resultados Oficiales Fase de Gr'!$D$8,'Pollas Fase de Grupos'!O13,'Resultados Oficiales Fase de Gr'!$E$8,L13,'Resultados Oficiales Fase de Gr'!$G$8)</f>
        <v>1</v>
      </c>
      <c r="N13" s="85" t="str">
        <f>IF('Pollas Fase de Grupos'!P13&gt;'Pollas Fase de Grupos'!Q13,'Pollas Fase de Grupos'!$P$2,IF('Pollas Fase de Grupos'!Q13&gt;'Pollas Fase de Grupos'!P13,'Pollas Fase de Grupos'!$Q$2,"EMPATE"))</f>
        <v>Inglaterra</v>
      </c>
      <c r="O13" s="85">
        <f>PUNTAJE_GANADORES('Pollas Fase de Grupos'!P13,'Resultados Oficiales Fase de Gr'!$D$11,'Pollas Fase de Grupos'!Q13,'Resultados Oficiales Fase de Gr'!$E$11,N13,'Resultados Oficiales Fase de Gr'!$G$11)</f>
        <v>2</v>
      </c>
      <c r="P13" s="4" t="str">
        <f>IF('Pollas Fase de Grupos'!R13&gt;'Pollas Fase de Grupos'!S13,'Pollas Fase de Grupos'!$R$2,IF('Pollas Fase de Grupos'!S13&gt;'Pollas Fase de Grupos'!R13,'Pollas Fase de Grupos'!$S$2,"EMPATE"))</f>
        <v>Gales</v>
      </c>
      <c r="Q13" s="85">
        <f>PUNTAJE_GANADORES('Pollas Fase de Grupos'!R13,'Resultados Oficiales Fase de Gr'!$D$12,'Pollas Fase de Grupos'!S13,'Resultados Oficiales Fase de Gr'!$E$12,P13,'Resultados Oficiales Fase de Gr'!$G$12)</f>
        <v>1</v>
      </c>
      <c r="R13" s="85" t="str">
        <f>IF('Pollas Fase de Grupos'!T13&gt;'Pollas Fase de Grupos'!U13,'Pollas Fase de Grupos'!$T$2,IF('Pollas Fase de Grupos'!U13&gt;'Pollas Fase de Grupos'!T13,'Pollas Fase de Grupos'!$U$2,"EMPATE"))</f>
        <v>Inglaterra</v>
      </c>
      <c r="S13" s="4">
        <f>PUNTAJE_GANADORES('Pollas Fase de Grupos'!T13,'Resultados Oficiales Fase de Gr'!$D$13,'Pollas Fase de Grupos'!U13,'Resultados Oficiales Fase de Gr'!$E$13,R13,'Resultados Oficiales Fase de Gr'!$G$13)</f>
        <v>0</v>
      </c>
      <c r="T13" s="85" t="str">
        <f>IF('Pollas Fase de Grupos'!V13&gt;'Pollas Fase de Grupos'!W13,'Pollas Fase de Grupos'!$V$2,IF('Pollas Fase de Grupos'!W13&gt;'Pollas Fase de Grupos'!V13,'Pollas Fase de Grupos'!$W$2,"EMPATE"))</f>
        <v>Gales</v>
      </c>
      <c r="U13" s="86">
        <f>PUNTAJE_GANADORES('Pollas Fase de Grupos'!V13,'Resultados Oficiales Fase de Gr'!$D$14,'Pollas Fase de Grupos'!W13,'Resultados Oficiales Fase de Gr'!$E$14,T13,'Resultados Oficiales Fase de Gr'!$G$14)</f>
        <v>0</v>
      </c>
      <c r="V13" s="85" t="str">
        <f>IF('Pollas Fase de Grupos'!X13&gt;'Pollas Fase de Grupos'!Y13,'Pollas Fase de Grupos'!$X$2,IF('Pollas Fase de Grupos'!Y13&gt;'Pollas Fase de Grupos'!X13,'Pollas Fase de Grupos'!$Y$2,"EMPATE"))</f>
        <v>EMPATE</v>
      </c>
      <c r="W13" s="85">
        <f>PUNTAJE_GANADORES('Pollas Fase de Grupos'!X13,'Resultados Oficiales Fase de Gr'!$D$15,'Pollas Fase de Grupos'!Y13,'Resultados Oficiales Fase de Gr'!$E$15,V13,'Resultados Oficiales Fase de Gr'!$G$15)</f>
        <v>0</v>
      </c>
      <c r="X13" s="85" t="str">
        <f>IF('Pollas Fase de Grupos'!Z13&gt;'Pollas Fase de Grupos'!AA13,'Pollas Fase de Grupos'!$Z$2,IF('Pollas Fase de Grupos'!AA13&gt;'Pollas Fase de Grupos'!Z13,'Pollas Fase de Grupos'!$AA$2,"EMPATE"))</f>
        <v>Estados Unidos</v>
      </c>
      <c r="Y13" s="87">
        <f>PUNTAJE_GANADORES('Pollas Fase de Grupos'!Z13,'Resultados Oficiales Fase de Gr'!$D$16,'Pollas Fase de Grupos'!AA13,'Resultados Oficiales Fase de Gr'!$E$16,X13,'Resultados Oficiales Fase de Gr'!$G$16)</f>
        <v>3</v>
      </c>
      <c r="Z13" s="85" t="str">
        <f>IF('Pollas Fase de Grupos'!AB13&gt;'Pollas Fase de Grupos'!AC13,'Pollas Fase de Grupos'!$AB$2,IF('Pollas Fase de Grupos'!AC13&gt;'Pollas Fase de Grupos'!AB13,'Pollas Fase de Grupos'!$AC$2,"EMPATE"))</f>
        <v>Argentina</v>
      </c>
      <c r="AA13" s="85">
        <f>PUNTAJE_GANADORES('Pollas Fase de Grupos'!AB13,'Resultados Oficiales Fase de Gr'!$D$19,'Pollas Fase de Grupos'!AC13,'Resultados Oficiales Fase de Gr'!$E$19,Z13,'Resultados Oficiales Fase de Gr'!$G$19)</f>
        <v>0</v>
      </c>
      <c r="AB13" s="85" t="str">
        <f>IF('Pollas Fase de Grupos'!AD13&gt;'Pollas Fase de Grupos'!AE13,'Pollas Fase de Grupos'!$AD$2,IF('Pollas Fase de Grupos'!AE13&gt;'Pollas Fase de Grupos'!AD13,'Pollas Fase de Grupos'!$AE$2,"EMPATE"))</f>
        <v>Polonia</v>
      </c>
      <c r="AC13" s="85">
        <f>PUNTAJE_GANADORES('Pollas Fase de Grupos'!AD13,'Resultados Oficiales Fase de Gr'!$D$20,'Pollas Fase de Grupos'!AE13,'Resultados Oficiales Fase de Gr'!$E$20,AB13,'Resultados Oficiales Fase de Gr'!$G$20)</f>
        <v>1</v>
      </c>
      <c r="AD13" s="85" t="str">
        <f>IF('Pollas Fase de Grupos'!AF13&gt;'Pollas Fase de Grupos'!AG13,'Pollas Fase de Grupos'!$AF$2,IF('Pollas Fase de Grupos'!AG13&gt;'Pollas Fase de Grupos'!AF13,'Pollas Fase de Grupos'!$AG$2,"EMPATE"))</f>
        <v>Argentina</v>
      </c>
      <c r="AE13" s="85">
        <f>PUNTAJE_GANADORES('Pollas Fase de Grupos'!AF13,'Resultados Oficiales Fase de Gr'!$D$21,'Pollas Fase de Grupos'!AG13,'Resultados Oficiales Fase de Gr'!$E$21,AD13,'Resultados Oficiales Fase de Gr'!$G$21)</f>
        <v>2</v>
      </c>
      <c r="AF13" s="85" t="str">
        <f>IF('Pollas Fase de Grupos'!AH13&gt;'Pollas Fase de Grupos'!AI13,'Pollas Fase de Grupos'!$AH$2,IF('Pollas Fase de Grupos'!AI13&gt;'Pollas Fase de Grupos'!AH13,'Pollas Fase de Grupos'!$AI$2,"EMPATE"))</f>
        <v>Polonia</v>
      </c>
      <c r="AG13" s="85">
        <f>PUNTAJE_GANADORES('Pollas Fase de Grupos'!AH13,'Resultados Oficiales Fase de Gr'!$D$22,'Pollas Fase de Grupos'!AI13,'Resultados Oficiales Fase de Gr'!$E$22,AF13,'Resultados Oficiales Fase de Gr'!$G$22)</f>
        <v>5</v>
      </c>
      <c r="AH13" s="85" t="str">
        <f>IF('Pollas Fase de Grupos'!AJ13&gt;'Pollas Fase de Grupos'!AK13,'Pollas Fase de Grupos'!$AJ$2,IF('Pollas Fase de Grupos'!AK13&gt;'Pollas Fase de Grupos'!AJ13,'Pollas Fase de Grupos'!$AK$2,"EMPATE"))</f>
        <v>EMPATE</v>
      </c>
      <c r="AI13" s="85">
        <f>PUNTAJE_GANADORES('Pollas Fase de Grupos'!AJ13,'Resultados Oficiales Fase de Gr'!$D$23,'Pollas Fase de Grupos'!AK13,'Resultados Oficiales Fase de Gr'!$E$23,AH13,'Resultados Oficiales Fase de Gr'!$G$23)</f>
        <v>1</v>
      </c>
      <c r="AJ13" s="85" t="str">
        <f>IF('Pollas Fase de Grupos'!AL13&gt;'Pollas Fase de Grupos'!AM13,'Pollas Fase de Grupos'!$AL$2,IF('Pollas Fase de Grupos'!AM13&gt;'Pollas Fase de Grupos'!AL13,'Pollas Fase de Grupos'!$AM$2,"EMPATE"))</f>
        <v>Mexico</v>
      </c>
      <c r="AK13" s="85">
        <f>PUNTAJE_GANADORES('Pollas Fase de Grupos'!AL13,'Resultados Oficiales Fase de Gr'!$D$24,'Pollas Fase de Grupos'!AM13,'Resultados Oficiales Fase de Gr'!$E$24,AJ13,'Resultados Oficiales Fase de Gr'!$G$24)</f>
        <v>5</v>
      </c>
      <c r="AL13" s="85" t="str">
        <f>IF('Pollas Fase de Grupos'!AN13&gt;'Pollas Fase de Grupos'!AO13,'Pollas Fase de Grupos'!$AN$2,IF('Pollas Fase de Grupos'!AO13&gt;'Pollas Fase de Grupos'!AN13,'Pollas Fase de Grupos'!$AO$2,"EMPATE"))</f>
        <v>Francia</v>
      </c>
      <c r="AM13" s="85">
        <f>PUNTAJE_GANADORES('Pollas Fase de Grupos'!AN13,'Resultados Oficiales Fase de Gr'!$D$27,'Pollas Fase de Grupos'!AO13,'Resultados Oficiales Fase de Gr'!$E$27,AL13,'Resultados Oficiales Fase de Gr'!$G$27)</f>
        <v>3</v>
      </c>
      <c r="AN13" s="85" t="str">
        <f>IF('Pollas Fase de Grupos'!AP13&gt;'Pollas Fase de Grupos'!AQ13,'Pollas Fase de Grupos'!$AP$2,IF('Pollas Fase de Grupos'!AQ13&gt;'Pollas Fase de Grupos'!AP13,'Pollas Fase de Grupos'!$AQ$2,"EMPATE"))</f>
        <v>Dinamarca</v>
      </c>
      <c r="AO13" s="85">
        <f>PUNTAJE_GANADORES('Pollas Fase de Grupos'!AP13,'Resultados Oficiales Fase de Gr'!$D$28,'Pollas Fase de Grupos'!AQ13,'Resultados Oficiales Fase de Gr'!$E$28,AN13,'Resultados Oficiales Fase de Gr'!$G$28)</f>
        <v>1</v>
      </c>
      <c r="AP13" s="85" t="str">
        <f>IF('Pollas Fase de Grupos'!AR13&gt;'Pollas Fase de Grupos'!AS13,'Pollas Fase de Grupos'!$AR$2,IF('Pollas Fase de Grupos'!AS13&gt;'Pollas Fase de Grupos'!AR13,'Pollas Fase de Grupos'!$AS$2,"EMPATE"))</f>
        <v>EMPATE</v>
      </c>
      <c r="AQ13" s="85">
        <f>PUNTAJE_GANADORES('Pollas Fase de Grupos'!AR13,'Resultados Oficiales Fase de Gr'!$D$29,'Pollas Fase de Grupos'!AS13,'Resultados Oficiales Fase de Gr'!$E$29,AP13,'Resultados Oficiales Fase de Gr'!$G$29)</f>
        <v>1</v>
      </c>
      <c r="AR13" s="85" t="str">
        <f>IF('Pollas Fase de Grupos'!AT13&gt;'Pollas Fase de Grupos'!AU13,'Pollas Fase de Grupos'!$AT$2,IF('Pollas Fase de Grupos'!AU13&gt;'Pollas Fase de Grupos'!AT13,'Pollas Fase de Grupos'!$AU$2,"EMPATE"))</f>
        <v>Tunez</v>
      </c>
      <c r="AS13" s="85">
        <f>PUNTAJE_GANADORES('Pollas Fase de Grupos'!AT13,'Resultados Oficiales Fase de Gr'!$D$30,'Pollas Fase de Grupos'!AU13,'Resultados Oficiales Fase de Gr'!$E$30,AR13,'Resultados Oficiales Fase de Gr'!$G$30)</f>
        <v>1</v>
      </c>
      <c r="AT13" s="85" t="str">
        <f>IF('Pollas Fase de Grupos'!AV13&gt;'Pollas Fase de Grupos'!AW13,'Pollas Fase de Grupos'!$AV$2,IF('Pollas Fase de Grupos'!AW13&gt;'Pollas Fase de Grupos'!AV13,'Pollas Fase de Grupos'!$AW$2,"EMPATE"))</f>
        <v>Francia</v>
      </c>
      <c r="AU13" s="85">
        <f>PUNTAJE_GANADORES('Pollas Fase de Grupos'!AV13,'Resultados Oficiales Fase de Gr'!$D$31,'Pollas Fase de Grupos'!AW13,'Resultados Oficiales Fase de Gr'!$E$31,AT13,'Resultados Oficiales Fase de Gr'!$G$31)</f>
        <v>1</v>
      </c>
      <c r="AV13" s="85" t="str">
        <f>IF('Pollas Fase de Grupos'!AX13&gt;'Pollas Fase de Grupos'!AY13,'Pollas Fase de Grupos'!$AX$2,IF('Pollas Fase de Grupos'!AY13&gt;'Pollas Fase de Grupos'!AX13,'Pollas Fase de Grupos'!$AY$2,"EMPATE"))</f>
        <v>Dinamarca</v>
      </c>
      <c r="AW13" s="85">
        <f>PUNTAJE_GANADORES('Pollas Fase de Grupos'!AX13,'Resultados Oficiales Fase de Gr'!$D$32,'Pollas Fase de Grupos'!AY13,'Resultados Oficiales Fase de Gr'!$E$32,AV13,'Resultados Oficiales Fase de Gr'!$G$32)</f>
        <v>1</v>
      </c>
      <c r="AX13" s="85" t="str">
        <f>IF('Pollas Fase de Grupos'!AZ13&gt;'Pollas Fase de Grupos'!BA13,'Pollas Fase de Grupos'!$AZ$2,IF('Pollas Fase de Grupos'!BA13&gt;'Pollas Fase de Grupos'!AZ13,'Pollas Fase de Grupos'!$BA$2,"EMPATE"))</f>
        <v>España</v>
      </c>
      <c r="AY13" s="85">
        <f>PUNTAJE_GANADORES('Pollas Fase de Grupos'!AZ13,'Resultados Oficiales Fase de Gr'!$D$35,'Pollas Fase de Grupos'!BA13,'Resultados Oficiales Fase de Gr'!$E$35,AX13,'Resultados Oficiales Fase de Gr'!$G$35)</f>
        <v>1</v>
      </c>
      <c r="AZ13" s="85" t="str">
        <f>IF('Pollas Fase de Grupos'!BB13&gt;'Pollas Fase de Grupos'!BC13,'Pollas Fase de Grupos'!$BB$2,IF('Pollas Fase de Grupos'!BC13&gt;'Pollas Fase de Grupos'!BB13,'Pollas Fase de Grupos'!$BC$2,"EMPATE"))</f>
        <v>Alemania</v>
      </c>
      <c r="BA13" s="85">
        <f>PUNTAJE_GANADORES('Pollas Fase de Grupos'!BB13,'Resultados Oficiales Fase de Gr'!$D$36,'Pollas Fase de Grupos'!BC13,'Resultados Oficiales Fase de Gr'!$E$36,AZ13,'Resultados Oficiales Fase de Gr'!$G$36)</f>
        <v>0</v>
      </c>
      <c r="BB13" s="85" t="str">
        <f>IF('Pollas Fase de Grupos'!BD13&gt;'Pollas Fase de Grupos'!BE13,'Pollas Fase de Grupos'!$BD$2,IF('Pollas Fase de Grupos'!BE13&gt;'Pollas Fase de Grupos'!BD13,'Pollas Fase de Grupos'!$BE$2,"EMPATE"))</f>
        <v>Alemania</v>
      </c>
      <c r="BC13" s="85">
        <f>PUNTAJE_GANADORES('Pollas Fase de Grupos'!BD13,'Resultados Oficiales Fase de Gr'!$D$37,'Pollas Fase de Grupos'!BE13,'Resultados Oficiales Fase de Gr'!$E$37,BB13,'Resultados Oficiales Fase de Gr'!$G$37)</f>
        <v>1</v>
      </c>
      <c r="BD13" s="85" t="str">
        <f>IF('Pollas Fase de Grupos'!BF13&gt;'Pollas Fase de Grupos'!BG13,'Pollas Fase de Grupos'!$BF$2,IF('Pollas Fase de Grupos'!BG13&gt;'Pollas Fase de Grupos'!BF13,'Pollas Fase de Grupos'!$BG$2,"EMPATE"))</f>
        <v>EMPATE</v>
      </c>
      <c r="BE13" s="85">
        <f>PUNTAJE_GANADORES('Pollas Fase de Grupos'!BF13,'Resultados Oficiales Fase de Gr'!$D$38,'Pollas Fase de Grupos'!BG13,'Resultados Oficiales Fase de Gr'!$E$38,BD13,'Resultados Oficiales Fase de Gr'!$G$38)</f>
        <v>0</v>
      </c>
      <c r="BF13" s="85" t="str">
        <f>IF('Pollas Fase de Grupos'!BH13&gt;'Pollas Fase de Grupos'!BI13,'Pollas Fase de Grupos'!$BH$2,IF('Pollas Fase de Grupos'!BI13&gt;'Pollas Fase de Grupos'!BH13,'Pollas Fase de Grupos'!$BI$2,"EMPATE"))</f>
        <v>España</v>
      </c>
      <c r="BG13" s="85">
        <f>PUNTAJE_GANADORES('Pollas Fase de Grupos'!BH13,'Resultados Oficiales Fase de Gr'!$D$39,'Pollas Fase de Grupos'!BI13,'Resultados Oficiales Fase de Gr'!$E$39,BF13,'Resultados Oficiales Fase de Gr'!$G$39)</f>
        <v>0</v>
      </c>
      <c r="BH13" s="85" t="str">
        <f>IF('Pollas Fase de Grupos'!BJ13&gt;'Pollas Fase de Grupos'!BK13,'Pollas Fase de Grupos'!$BJ$2,IF('Pollas Fase de Grupos'!BK13&gt;'Pollas Fase de Grupos'!BJ13,'Pollas Fase de Grupos'!$BK$2,"EMPATE"))</f>
        <v>Alemania</v>
      </c>
      <c r="BI13" s="85">
        <f>PUNTAJE_GANADORES('Pollas Fase de Grupos'!BJ13,'Resultados Oficiales Fase de Gr'!$D$40,'Pollas Fase de Grupos'!BK13,'Resultados Oficiales Fase de Gr'!$E$40,BH13,'Resultados Oficiales Fase de Gr'!$G$40)</f>
        <v>2</v>
      </c>
      <c r="BJ13" s="85" t="str">
        <f>IF('Pollas Fase de Grupos'!BL13&gt;'Pollas Fase de Grupos'!BM13,'Pollas Fase de Grupos'!$BL$2,IF('Pollas Fase de Grupos'!BM13&gt;'Pollas Fase de Grupos'!BL13,'Pollas Fase de Grupos'!$BM$2,"EMPATE"))</f>
        <v>Belgica</v>
      </c>
      <c r="BK13" s="85">
        <f>PUNTAJE_GANADORES('Pollas Fase de Grupos'!BL13,'Resultados Oficiales Fase de Gr'!$D$43,'Pollas Fase de Grupos'!BM13,'Resultados Oficiales Fase de Gr'!$E$43,BJ13,'Resultados Oficiales Fase de Gr'!$G$43)</f>
        <v>2</v>
      </c>
      <c r="BL13" s="85" t="str">
        <f>IF('Pollas Fase de Grupos'!BN13&gt;'Pollas Fase de Grupos'!BO13,'Pollas Fase de Grupos'!$BN$2,IF('Pollas Fase de Grupos'!BO13&gt;'Pollas Fase de Grupos'!BN13,'Pollas Fase de Grupos'!$BO$2,"EMPATE"))</f>
        <v>Croacia</v>
      </c>
      <c r="BM13" s="85">
        <f>PUNTAJE_GANADORES('Pollas Fase de Grupos'!BN13,'Resultados Oficiales Fase de Gr'!$D$44,'Pollas Fase de Grupos'!BO13,'Resultados Oficiales Fase de Gr'!$E$44,BL13,'Resultados Oficiales Fase de Gr'!$G$44)</f>
        <v>1</v>
      </c>
      <c r="BN13" s="85" t="str">
        <f>IF('Pollas Fase de Grupos'!BP13&gt;'Pollas Fase de Grupos'!BQ13,'Pollas Fase de Grupos'!$BP$2,IF('Pollas Fase de Grupos'!BQ13&gt;'Pollas Fase de Grupos'!BP13,'Pollas Fase de Grupos'!$BQ$2,"EMPATE"))</f>
        <v>Belgica</v>
      </c>
      <c r="BO13" s="85">
        <f>PUNTAJE_GANADORES('Pollas Fase de Grupos'!BP13,'Resultados Oficiales Fase de Gr'!$D$45,'Pollas Fase de Grupos'!BQ13,'Resultados Oficiales Fase de Gr'!$E$45,BN13,'Resultados Oficiales Fase de Gr'!$G$45)</f>
        <v>0</v>
      </c>
      <c r="BP13" s="85" t="str">
        <f>IF('Pollas Fase de Grupos'!BR13&gt;'Pollas Fase de Grupos'!BS13,'Pollas Fase de Grupos'!$BR$2,IF('Pollas Fase de Grupos'!BS13&gt;'Pollas Fase de Grupos'!BR13,'Pollas Fase de Grupos'!$BS$2,"EMPATE"))</f>
        <v>Croacia</v>
      </c>
      <c r="BQ13" s="85">
        <f>PUNTAJE_GANADORES('Pollas Fase de Grupos'!BR13,'Resultados Oficiales Fase de Gr'!$D$46,'Pollas Fase de Grupos'!BS13,'Resultados Oficiales Fase de Gr'!$E$46,BP13,'Resultados Oficiales Fase de Gr'!$G$46)</f>
        <v>2</v>
      </c>
      <c r="BR13" s="85" t="str">
        <f>IF('Pollas Fase de Grupos'!BT13&gt;'Pollas Fase de Grupos'!BU13,'Pollas Fase de Grupos'!$BT$2,IF('Pollas Fase de Grupos'!BU13&gt;'Pollas Fase de Grupos'!BT13,'Pollas Fase de Grupos'!$BU$2,"EMPATE"))</f>
        <v>Belgica</v>
      </c>
      <c r="BS13" s="85">
        <f>PUNTAJE_GANADORES('Pollas Fase de Grupos'!BT13,'Resultados Oficiales Fase de Gr'!$D$47,'Pollas Fase de Grupos'!BU13,'Resultados Oficiales Fase de Gr'!$E$47,BR13,'Resultados Oficiales Fase de Gr'!$G$47)</f>
        <v>0</v>
      </c>
      <c r="BT13" s="85" t="str">
        <f>IF('Pollas Fase de Grupos'!BV13&gt;'Pollas Fase de Grupos'!BW13,'Pollas Fase de Grupos'!$BV$2,IF('Pollas Fase de Grupos'!BW13&gt;'Pollas Fase de Grupos'!BV13,'Pollas Fase de Grupos'!$BW$2,"EMPATE"))</f>
        <v>Canada</v>
      </c>
      <c r="BU13" s="85">
        <f>PUNTAJE_GANADORES('Pollas Fase de Grupos'!BV13,'Resultados Oficiales Fase de Gr'!$D$48,'Pollas Fase de Grupos'!BW13,'Resultados Oficiales Fase de Gr'!$E$48,BT13,'Resultados Oficiales Fase de Gr'!$G$48)</f>
        <v>1</v>
      </c>
      <c r="BV13" s="85" t="str">
        <f>IF('Pollas Fase de Grupos'!BX13&gt;'Pollas Fase de Grupos'!BY13,'Pollas Fase de Grupos'!$BX$2,IF('Pollas Fase de Grupos'!BY13&gt;'Pollas Fase de Grupos'!BX13,'Pollas Fase de Grupos'!$BY$2,"EMPATE"))</f>
        <v>Brasil</v>
      </c>
      <c r="BW13" s="85">
        <f>PUNTAJE_GANADORES('Pollas Fase de Grupos'!BX13,'Resultados Oficiales Fase de Gr'!$D$51,'Pollas Fase de Grupos'!BY13,'Resultados Oficiales Fase de Gr'!$E$51,BV13,'Resultados Oficiales Fase de Gr'!$G$51)</f>
        <v>3</v>
      </c>
      <c r="BX13" s="85" t="str">
        <f>IF('Pollas Fase de Grupos'!BZ13&gt;'Pollas Fase de Grupos'!CA13,'Pollas Fase de Grupos'!$BZ$2,IF('Pollas Fase de Grupos'!CA13&gt;'Pollas Fase de Grupos'!BZ13,'Pollas Fase de Grupos'!$CA$2,"EMPATE"))</f>
        <v>EMPATE</v>
      </c>
      <c r="BY13" s="85">
        <f>PUNTAJE_GANADORES('Pollas Fase de Grupos'!BZ13,'Resultados Oficiales Fase de Gr'!$D$52,'Pollas Fase de Grupos'!CA13,'Resultados Oficiales Fase de Gr'!$E$52,BX13,'Resultados Oficiales Fase de Gr'!$G$52)</f>
        <v>0</v>
      </c>
      <c r="BZ13" s="85" t="str">
        <f>IF('Pollas Fase de Grupos'!CB13&gt;'Pollas Fase de Grupos'!CC13,'Pollas Fase de Grupos'!$CB$2,IF('Pollas Fase de Grupos'!CC13&gt;'Pollas Fase de Grupos'!CB13,'Pollas Fase de Grupos'!$CC$2,"EMPATE"))</f>
        <v>Brasil</v>
      </c>
      <c r="CA13" s="85">
        <f>PUNTAJE_GANADORES('Pollas Fase de Grupos'!CB13,'Resultados Oficiales Fase de Gr'!$D$53,'Pollas Fase de Grupos'!CC13,'Resultados Oficiales Fase de Gr'!$E$53,BZ13,'Resultados Oficiales Fase de Gr'!$G$53)</f>
        <v>2</v>
      </c>
      <c r="CB13" s="85" t="str">
        <f>IF('Pollas Fase de Grupos'!CD13&gt;'Pollas Fase de Grupos'!CE13,'Pollas Fase de Grupos'!$CD$2,IF('Pollas Fase de Grupos'!CE13&gt;'Pollas Fase de Grupos'!CD13,'Pollas Fase de Grupos'!$CE$2,"EMPATE"))</f>
        <v>EMPATE</v>
      </c>
      <c r="CC13" s="85">
        <f>PUNTAJE_GANADORES('Pollas Fase de Grupos'!CD13,'Resultados Oficiales Fase de Gr'!$D$54,'Pollas Fase de Grupos'!CE13,'Resultados Oficiales Fase de Gr'!$E$54,CB13,'Resultados Oficiales Fase de Gr'!$G$54)</f>
        <v>1</v>
      </c>
      <c r="CD13" s="85" t="str">
        <f>IF('Pollas Fase de Grupos'!CF13&gt;'Pollas Fase de Grupos'!CG13,'Pollas Fase de Grupos'!$CF$2,IF('Pollas Fase de Grupos'!CG13&gt;'Pollas Fase de Grupos'!CF13,'Pollas Fase de Grupos'!$CG$2,"EMPATE"))</f>
        <v>Brasil</v>
      </c>
      <c r="CE13" s="85">
        <f>PUNTAJE_GANADORES('Pollas Fase de Grupos'!CF13,'Resultados Oficiales Fase de Gr'!$D$55,'Pollas Fase de Grupos'!CG13,'Resultados Oficiales Fase de Gr'!$E$55,CD13,'Resultados Oficiales Fase de Gr'!$G$55)</f>
        <v>0</v>
      </c>
      <c r="CF13" s="85" t="str">
        <f>IF('Pollas Fase de Grupos'!CH13&gt;'Pollas Fase de Grupos'!CI13,'Pollas Fase de Grupos'!$CH$2,IF('Pollas Fase de Grupos'!CI13&gt;'Pollas Fase de Grupos'!CH13,'Pollas Fase de Grupos'!$CI$2,"EMPATE"))</f>
        <v>Suiza</v>
      </c>
      <c r="CG13" s="85">
        <f>PUNTAJE_GANADORES('Pollas Fase de Grupos'!CH13,'Resultados Oficiales Fase de Gr'!$D$56,'Pollas Fase de Grupos'!CI13,'Resultados Oficiales Fase de Gr'!$E$56,CF13,'Resultados Oficiales Fase de Gr'!$G$56)</f>
        <v>2</v>
      </c>
      <c r="CH13" s="85" t="str">
        <f>IF('Pollas Fase de Grupos'!CJ13&gt;'Pollas Fase de Grupos'!CK13,'Pollas Fase de Grupos'!$CJ$2,IF('Pollas Fase de Grupos'!CK13&gt;'Pollas Fase de Grupos'!CJ13,'Pollas Fase de Grupos'!$CK$2,"EMPATE"))</f>
        <v>EMPATE</v>
      </c>
      <c r="CI13" s="85">
        <f>PUNTAJE_GANADORES('Pollas Fase de Grupos'!CJ13,'Resultados Oficiales Fase de Gr'!$D$59,'Pollas Fase de Grupos'!CK13,'Resultados Oficiales Fase de Gr'!$E$59,CH13,'Resultados Oficiales Fase de Gr'!$G$59)</f>
        <v>1</v>
      </c>
      <c r="CJ13" s="85" t="str">
        <f>IF('Pollas Fase de Grupos'!CL13&gt;'Pollas Fase de Grupos'!CM13,'Pollas Fase de Grupos'!$CL$2,IF('Pollas Fase de Grupos'!CM13&gt;'Pollas Fase de Grupos'!CL13,'Pollas Fase de Grupos'!$CM$2,"EMPATE"))</f>
        <v>Uruguay</v>
      </c>
      <c r="CK13" s="85">
        <f>PUNTAJE_GANADORES('Pollas Fase de Grupos'!CL13,'Resultados Oficiales Fase de Gr'!$D$60,'Pollas Fase de Grupos'!CM13,'Resultados Oficiales Fase de Gr'!$E$60,CJ13,'Resultados Oficiales Fase de Gr'!$G$60)</f>
        <v>1</v>
      </c>
      <c r="CL13" s="85" t="str">
        <f>IF('Pollas Fase de Grupos'!CN13&gt;'Pollas Fase de Grupos'!CO13,'Pollas Fase de Grupos'!$CN$2,IF('Pollas Fase de Grupos'!CO13&gt;'Pollas Fase de Grupos'!CN13,'Pollas Fase de Grupos'!$CO$2,"EMPATE"))</f>
        <v>Uruguay</v>
      </c>
      <c r="CM13" s="85">
        <f>PUNTAJE_GANADORES('Pollas Fase de Grupos'!CN13,'Resultados Oficiales Fase de Gr'!$D$61,'Pollas Fase de Grupos'!CO13,'Resultados Oficiales Fase de Gr'!$E$61,CL13,'Resultados Oficiales Fase de Gr'!$G$61)</f>
        <v>0</v>
      </c>
      <c r="CN13" s="85" t="str">
        <f>IF('Pollas Fase de Grupos'!CP13&gt;'Pollas Fase de Grupos'!CQ13,'Pollas Fase de Grupos'!$CP$2,IF('Pollas Fase de Grupos'!CQ13&gt;'Pollas Fase de Grupos'!CP13,'Pollas Fase de Grupos'!$CQ$2,"EMPATE"))</f>
        <v>Ghana</v>
      </c>
      <c r="CO13" s="85">
        <f>PUNTAJE_GANADORES('Pollas Fase de Grupos'!CP13,'Resultados Oficiales Fase de Gr'!$D$62,'Pollas Fase de Grupos'!CQ13,'Resultados Oficiales Fase de Gr'!$E$62,CN13,'Resultados Oficiales Fase de Gr'!$G$62)</f>
        <v>2</v>
      </c>
      <c r="CP13" s="85" t="str">
        <f>IF('Pollas Fase de Grupos'!CR13&gt;'Pollas Fase de Grupos'!CS13,'Pollas Fase de Grupos'!$CR$2,IF('Pollas Fase de Grupos'!CS13&gt;'Pollas Fase de Grupos'!CR13,'Pollas Fase de Grupos'!$CS$2,"EMPATE"))</f>
        <v>Portugal</v>
      </c>
      <c r="CQ13" s="85">
        <f>PUNTAJE_GANADORES('Pollas Fase de Grupos'!CR13,'Resultados Oficiales Fase de Gr'!$D$63,'Pollas Fase de Grupos'!CS13,'Resultados Oficiales Fase de Gr'!$E$63,CP13,'Resultados Oficiales Fase de Gr'!$G$63)</f>
        <v>0</v>
      </c>
      <c r="CR13" s="85" t="str">
        <f>IF('Pollas Fase de Grupos'!CT13&gt;'Pollas Fase de Grupos'!CU13,'Pollas Fase de Grupos'!$CT$2,IF('Pollas Fase de Grupos'!CU13&gt;'Pollas Fase de Grupos'!CT13,'Pollas Fase de Grupos'!$CU$2,"EMPATE"))</f>
        <v>EMPATE</v>
      </c>
      <c r="CS13" s="85">
        <f>PUNTAJE_GANADORES('Pollas Fase de Grupos'!CT13,'Resultados Oficiales Fase de Gr'!$D$64,'Pollas Fase de Grupos'!CU13,'Resultados Oficiales Fase de Gr'!$E$64,CR13,'Resultados Oficiales Fase de Gr'!$G$64)</f>
        <v>0</v>
      </c>
      <c r="CT13" s="4">
        <f t="shared" si="1"/>
        <v>63</v>
      </c>
      <c r="CU13" s="17">
        <v>44.0</v>
      </c>
      <c r="CV13" s="3">
        <f t="shared" si="2"/>
        <v>66</v>
      </c>
    </row>
    <row r="14">
      <c r="A14" s="3" t="str">
        <f>'Pollas Fase de Grupos'!CV14</f>
        <v>Guanabano Indigente</v>
      </c>
      <c r="B14" s="4" t="str">
        <f>IF('Pollas Fase de Grupos'!D14&gt;'Pollas Fase de Grupos'!E14,'Pollas Fase de Grupos'!$D$2,IF('Pollas Fase de Grupos'!E14&gt;'Pollas Fase de Grupos'!D14,'Pollas Fase de Grupos'!$E$2,"EMPATE"))</f>
        <v>EMPATE</v>
      </c>
      <c r="C14" s="4">
        <f>PUNTAJE_GANADORES('Pollas Fase de Grupos'!D14,'Resultados Oficiales Fase de Gr'!$D$3,'Pollas Fase de Grupos'!E14,'Resultados Oficiales Fase de Gr'!$E$3,B14,'Resultados Oficiales Fase de Gr'!$G$3)</f>
        <v>0</v>
      </c>
      <c r="D14" s="85" t="str">
        <f>IF('Pollas Fase de Grupos'!F14&gt;'Pollas Fase de Grupos'!G14,'Pollas Fase de Grupos'!$F$2,IF('Pollas Fase de Grupos'!G14&gt;'Pollas Fase de Grupos'!F14,'Pollas Fase de Grupos'!$G$2,"EMPATE"))</f>
        <v>Paises Bajos</v>
      </c>
      <c r="E14" s="4">
        <f>PUNTAJE_GANADORES('Pollas Fase de Grupos'!F14,'Resultados Oficiales Fase de Gr'!$D$4,'Pollas Fase de Grupos'!G14,'Resultados Oficiales Fase de Gr'!$E$4,D14,'Resultados Oficiales Fase de Gr'!$G$4)</f>
        <v>5</v>
      </c>
      <c r="F14" s="85" t="str">
        <f>IF('Pollas Fase de Grupos'!H14&gt;'Pollas Fase de Grupos'!I14,'Pollas Fase de Grupos'!$H$2,IF('Pollas Fase de Grupos'!I14&gt;'Pollas Fase de Grupos'!H14,'Pollas Fase de Grupos'!$I$2,"EMPATE"))</f>
        <v>EMPATE</v>
      </c>
      <c r="G14" s="4">
        <f>PUNTAJE_GANADORES('Pollas Fase de Grupos'!H14,'Resultados Oficiales Fase de Gr'!$D$5,'Pollas Fase de Grupos'!I14,'Resultados Oficiales Fase de Gr'!$E$5,F14,'Resultados Oficiales Fase de Gr'!$G$5)</f>
        <v>1</v>
      </c>
      <c r="H14" s="85" t="str">
        <f>IF('Pollas Fase de Grupos'!J14&gt;'Pollas Fase de Grupos'!K14,'Pollas Fase de Grupos'!$J$2,IF('Pollas Fase de Grupos'!K14&gt;'Pollas Fase de Grupos'!J14,'Pollas Fase de Grupos'!$K$2,"EMPATE"))</f>
        <v>Ecuador</v>
      </c>
      <c r="I14" s="4">
        <f>PUNTAJE_GANADORES('Pollas Fase de Grupos'!J14,'Resultados Oficiales Fase de Gr'!$D$6,'Pollas Fase de Grupos'!K14,'Resultados Oficiales Fase de Gr'!$E$6,H14,'Resultados Oficiales Fase de Gr'!$G$6)</f>
        <v>1</v>
      </c>
      <c r="J14" s="85" t="str">
        <f>IF('Pollas Fase de Grupos'!L14&gt;'Pollas Fase de Grupos'!M14,'Pollas Fase de Grupos'!$L$2,IF('Pollas Fase de Grupos'!M14&gt;'Pollas Fase de Grupos'!L14,'Pollas Fase de Grupos'!$M$2,"EMPATE"))</f>
        <v>Paises Bajos</v>
      </c>
      <c r="K14" s="4">
        <f>PUNTAJE_GANADORES('Pollas Fase de Grupos'!L14,'Resultados Oficiales Fase de Gr'!$D$7,'Pollas Fase de Grupos'!M14,'Resultados Oficiales Fase de Gr'!$E$7,J14,'Resultados Oficiales Fase de Gr'!$G$7)</f>
        <v>5</v>
      </c>
      <c r="L14" s="85" t="str">
        <f>IF('Pollas Fase de Grupos'!N14&gt;'Pollas Fase de Grupos'!O14,'Pollas Fase de Grupos'!$N$2,IF('Pollas Fase de Grupos'!O14&gt;'Pollas Fase de Grupos'!N14,'Pollas Fase de Grupos'!$O$2,"EMPATE"))</f>
        <v>Ecuador</v>
      </c>
      <c r="M14" s="85">
        <f>PUNTAJE_GANADORES('Pollas Fase de Grupos'!N14,'Resultados Oficiales Fase de Gr'!$D$8,'Pollas Fase de Grupos'!O14,'Resultados Oficiales Fase de Gr'!$E$8,L14,'Resultados Oficiales Fase de Gr'!$G$8)</f>
        <v>0</v>
      </c>
      <c r="N14" s="85" t="str">
        <f>IF('Pollas Fase de Grupos'!P14&gt;'Pollas Fase de Grupos'!Q14,'Pollas Fase de Grupos'!$P$2,IF('Pollas Fase de Grupos'!Q14&gt;'Pollas Fase de Grupos'!P14,'Pollas Fase de Grupos'!$Q$2,"EMPATE"))</f>
        <v>Inglaterra</v>
      </c>
      <c r="O14" s="85">
        <f>PUNTAJE_GANADORES('Pollas Fase de Grupos'!P14,'Resultados Oficiales Fase de Gr'!$D$11,'Pollas Fase de Grupos'!Q14,'Resultados Oficiales Fase de Gr'!$E$11,N14,'Resultados Oficiales Fase de Gr'!$G$11)</f>
        <v>2</v>
      </c>
      <c r="P14" s="4" t="str">
        <f>IF('Pollas Fase de Grupos'!R14&gt;'Pollas Fase de Grupos'!S14,'Pollas Fase de Grupos'!$R$2,IF('Pollas Fase de Grupos'!S14&gt;'Pollas Fase de Grupos'!R14,'Pollas Fase de Grupos'!$S$2,"EMPATE"))</f>
        <v>Estados Unidos</v>
      </c>
      <c r="Q14" s="85">
        <f>PUNTAJE_GANADORES('Pollas Fase de Grupos'!R14,'Resultados Oficiales Fase de Gr'!$D$12,'Pollas Fase de Grupos'!S14,'Resultados Oficiales Fase de Gr'!$E$12,P14,'Resultados Oficiales Fase de Gr'!$G$12)</f>
        <v>0</v>
      </c>
      <c r="R14" s="85" t="str">
        <f>IF('Pollas Fase de Grupos'!T14&gt;'Pollas Fase de Grupos'!U14,'Pollas Fase de Grupos'!$T$2,IF('Pollas Fase de Grupos'!U14&gt;'Pollas Fase de Grupos'!T14,'Pollas Fase de Grupos'!$U$2,"EMPATE"))</f>
        <v>Inglaterra</v>
      </c>
      <c r="S14" s="4">
        <f>PUNTAJE_GANADORES('Pollas Fase de Grupos'!T14,'Resultados Oficiales Fase de Gr'!$D$13,'Pollas Fase de Grupos'!U14,'Resultados Oficiales Fase de Gr'!$E$13,R14,'Resultados Oficiales Fase de Gr'!$G$13)</f>
        <v>0</v>
      </c>
      <c r="T14" s="85" t="str">
        <f>IF('Pollas Fase de Grupos'!V14&gt;'Pollas Fase de Grupos'!W14,'Pollas Fase de Grupos'!$V$2,IF('Pollas Fase de Grupos'!W14&gt;'Pollas Fase de Grupos'!V14,'Pollas Fase de Grupos'!$W$2,"EMPATE"))</f>
        <v>EMPATE</v>
      </c>
      <c r="U14" s="86">
        <f>PUNTAJE_GANADORES('Pollas Fase de Grupos'!V14,'Resultados Oficiales Fase de Gr'!$D$14,'Pollas Fase de Grupos'!W14,'Resultados Oficiales Fase de Gr'!$E$14,T14,'Resultados Oficiales Fase de Gr'!$G$14)</f>
        <v>1</v>
      </c>
      <c r="V14" s="85" t="str">
        <f>IF('Pollas Fase de Grupos'!X14&gt;'Pollas Fase de Grupos'!Y14,'Pollas Fase de Grupos'!$X$2,IF('Pollas Fase de Grupos'!Y14&gt;'Pollas Fase de Grupos'!X14,'Pollas Fase de Grupos'!$Y$2,"EMPATE"))</f>
        <v>Inglaterra</v>
      </c>
      <c r="W14" s="85">
        <f>PUNTAJE_GANADORES('Pollas Fase de Grupos'!X14,'Resultados Oficiales Fase de Gr'!$D$15,'Pollas Fase de Grupos'!Y14,'Resultados Oficiales Fase de Gr'!$E$15,V14,'Resultados Oficiales Fase de Gr'!$G$15)</f>
        <v>3</v>
      </c>
      <c r="X14" s="85" t="str">
        <f>IF('Pollas Fase de Grupos'!Z14&gt;'Pollas Fase de Grupos'!AA14,'Pollas Fase de Grupos'!$Z$2,IF('Pollas Fase de Grupos'!AA14&gt;'Pollas Fase de Grupos'!Z14,'Pollas Fase de Grupos'!$AA$2,"EMPATE"))</f>
        <v>Estados Unidos</v>
      </c>
      <c r="Y14" s="87">
        <f>PUNTAJE_GANADORES('Pollas Fase de Grupos'!Z14,'Resultados Oficiales Fase de Gr'!$D$16,'Pollas Fase de Grupos'!AA14,'Resultados Oficiales Fase de Gr'!$E$16,X14,'Resultados Oficiales Fase de Gr'!$G$16)</f>
        <v>3</v>
      </c>
      <c r="Z14" s="85" t="str">
        <f>IF('Pollas Fase de Grupos'!AB14&gt;'Pollas Fase de Grupos'!AC14,'Pollas Fase de Grupos'!$AB$2,IF('Pollas Fase de Grupos'!AC14&gt;'Pollas Fase de Grupos'!AB14,'Pollas Fase de Grupos'!$AC$2,"EMPATE"))</f>
        <v>Argentina</v>
      </c>
      <c r="AA14" s="85">
        <f>PUNTAJE_GANADORES('Pollas Fase de Grupos'!AB14,'Resultados Oficiales Fase de Gr'!$D$19,'Pollas Fase de Grupos'!AC14,'Resultados Oficiales Fase de Gr'!$E$19,Z14,'Resultados Oficiales Fase de Gr'!$G$19)</f>
        <v>0</v>
      </c>
      <c r="AB14" s="85" t="str">
        <f>IF('Pollas Fase de Grupos'!AD14&gt;'Pollas Fase de Grupos'!AE14,'Pollas Fase de Grupos'!$AD$2,IF('Pollas Fase de Grupos'!AE14&gt;'Pollas Fase de Grupos'!AD14,'Pollas Fase de Grupos'!$AE$2,"EMPATE"))</f>
        <v>Mexico</v>
      </c>
      <c r="AC14" s="85">
        <f>PUNTAJE_GANADORES('Pollas Fase de Grupos'!AD14,'Resultados Oficiales Fase de Gr'!$D$20,'Pollas Fase de Grupos'!AE14,'Resultados Oficiales Fase de Gr'!$E$20,AB14,'Resultados Oficiales Fase de Gr'!$G$20)</f>
        <v>0</v>
      </c>
      <c r="AD14" s="85" t="str">
        <f>IF('Pollas Fase de Grupos'!AF14&gt;'Pollas Fase de Grupos'!AG14,'Pollas Fase de Grupos'!$AF$2,IF('Pollas Fase de Grupos'!AG14&gt;'Pollas Fase de Grupos'!AF14,'Pollas Fase de Grupos'!$AG$2,"EMPATE"))</f>
        <v>Argentina</v>
      </c>
      <c r="AE14" s="85">
        <f>PUNTAJE_GANADORES('Pollas Fase de Grupos'!AF14,'Resultados Oficiales Fase de Gr'!$D$21,'Pollas Fase de Grupos'!AG14,'Resultados Oficiales Fase de Gr'!$E$21,AD14,'Resultados Oficiales Fase de Gr'!$G$21)</f>
        <v>3</v>
      </c>
      <c r="AF14" s="85" t="str">
        <f>IF('Pollas Fase de Grupos'!AH14&gt;'Pollas Fase de Grupos'!AI14,'Pollas Fase de Grupos'!$AH$2,IF('Pollas Fase de Grupos'!AI14&gt;'Pollas Fase de Grupos'!AH14,'Pollas Fase de Grupos'!$AI$2,"EMPATE"))</f>
        <v>Arabia Saudita</v>
      </c>
      <c r="AG14" s="85">
        <f>PUNTAJE_GANADORES('Pollas Fase de Grupos'!AH14,'Resultados Oficiales Fase de Gr'!$D$22,'Pollas Fase de Grupos'!AI14,'Resultados Oficiales Fase de Gr'!$E$22,AF14,'Resultados Oficiales Fase de Gr'!$G$22)</f>
        <v>0</v>
      </c>
      <c r="AH14" s="85" t="str">
        <f>IF('Pollas Fase de Grupos'!AJ14&gt;'Pollas Fase de Grupos'!AK14,'Pollas Fase de Grupos'!$AJ$2,IF('Pollas Fase de Grupos'!AK14&gt;'Pollas Fase de Grupos'!AJ14,'Pollas Fase de Grupos'!$AK$2,"EMPATE"))</f>
        <v>Argentina</v>
      </c>
      <c r="AI14" s="85">
        <f>PUNTAJE_GANADORES('Pollas Fase de Grupos'!AJ14,'Resultados Oficiales Fase de Gr'!$D$23,'Pollas Fase de Grupos'!AK14,'Resultados Oficiales Fase de Gr'!$E$23,AH14,'Resultados Oficiales Fase de Gr'!$G$23)</f>
        <v>3</v>
      </c>
      <c r="AJ14" s="85" t="str">
        <f>IF('Pollas Fase de Grupos'!AL14&gt;'Pollas Fase de Grupos'!AM14,'Pollas Fase de Grupos'!$AL$2,IF('Pollas Fase de Grupos'!AM14&gt;'Pollas Fase de Grupos'!AL14,'Pollas Fase de Grupos'!$AM$2,"EMPATE"))</f>
        <v>Mexico</v>
      </c>
      <c r="AK14" s="85">
        <f>PUNTAJE_GANADORES('Pollas Fase de Grupos'!AL14,'Resultados Oficiales Fase de Gr'!$D$24,'Pollas Fase de Grupos'!AM14,'Resultados Oficiales Fase de Gr'!$E$24,AJ14,'Resultados Oficiales Fase de Gr'!$G$24)</f>
        <v>3</v>
      </c>
      <c r="AL14" s="85" t="str">
        <f>IF('Pollas Fase de Grupos'!AN14&gt;'Pollas Fase de Grupos'!AO14,'Pollas Fase de Grupos'!$AN$2,IF('Pollas Fase de Grupos'!AO14&gt;'Pollas Fase de Grupos'!AN14,'Pollas Fase de Grupos'!$AO$2,"EMPATE"))</f>
        <v>Francia</v>
      </c>
      <c r="AM14" s="85">
        <f>PUNTAJE_GANADORES('Pollas Fase de Grupos'!AN14,'Resultados Oficiales Fase de Gr'!$D$27,'Pollas Fase de Grupos'!AO14,'Resultados Oficiales Fase de Gr'!$E$27,AL14,'Resultados Oficiales Fase de Gr'!$G$27)</f>
        <v>2</v>
      </c>
      <c r="AN14" s="85" t="str">
        <f>IF('Pollas Fase de Grupos'!AP14&gt;'Pollas Fase de Grupos'!AQ14,'Pollas Fase de Grupos'!$AP$2,IF('Pollas Fase de Grupos'!AQ14&gt;'Pollas Fase de Grupos'!AP14,'Pollas Fase de Grupos'!$AQ$2,"EMPATE"))</f>
        <v>Dinamarca</v>
      </c>
      <c r="AO14" s="85">
        <f>PUNTAJE_GANADORES('Pollas Fase de Grupos'!AP14,'Resultados Oficiales Fase de Gr'!$D$28,'Pollas Fase de Grupos'!AQ14,'Resultados Oficiales Fase de Gr'!$E$28,AN14,'Resultados Oficiales Fase de Gr'!$G$28)</f>
        <v>1</v>
      </c>
      <c r="AP14" s="85" t="str">
        <f>IF('Pollas Fase de Grupos'!AR14&gt;'Pollas Fase de Grupos'!AS14,'Pollas Fase de Grupos'!$AR$2,IF('Pollas Fase de Grupos'!AS14&gt;'Pollas Fase de Grupos'!AR14,'Pollas Fase de Grupos'!$AS$2,"EMPATE"))</f>
        <v>Dinamarca</v>
      </c>
      <c r="AQ14" s="85">
        <f>PUNTAJE_GANADORES('Pollas Fase de Grupos'!AR14,'Resultados Oficiales Fase de Gr'!$D$29,'Pollas Fase de Grupos'!AS14,'Resultados Oficiales Fase de Gr'!$E$29,AP14,'Resultados Oficiales Fase de Gr'!$G$29)</f>
        <v>0</v>
      </c>
      <c r="AR14" s="85" t="str">
        <f>IF('Pollas Fase de Grupos'!AT14&gt;'Pollas Fase de Grupos'!AU14,'Pollas Fase de Grupos'!$AT$2,IF('Pollas Fase de Grupos'!AU14&gt;'Pollas Fase de Grupos'!AT14,'Pollas Fase de Grupos'!$AU$2,"EMPATE"))</f>
        <v>EMPATE</v>
      </c>
      <c r="AS14" s="85">
        <f>PUNTAJE_GANADORES('Pollas Fase de Grupos'!AT14,'Resultados Oficiales Fase de Gr'!$D$30,'Pollas Fase de Grupos'!AU14,'Resultados Oficiales Fase de Gr'!$E$30,AR14,'Resultados Oficiales Fase de Gr'!$G$30)</f>
        <v>1</v>
      </c>
      <c r="AT14" s="85" t="str">
        <f>IF('Pollas Fase de Grupos'!AV14&gt;'Pollas Fase de Grupos'!AW14,'Pollas Fase de Grupos'!$AV$2,IF('Pollas Fase de Grupos'!AW14&gt;'Pollas Fase de Grupos'!AV14,'Pollas Fase de Grupos'!$AW$2,"EMPATE"))</f>
        <v>Francia</v>
      </c>
      <c r="AU14" s="85">
        <f>PUNTAJE_GANADORES('Pollas Fase de Grupos'!AV14,'Resultados Oficiales Fase de Gr'!$D$31,'Pollas Fase de Grupos'!AW14,'Resultados Oficiales Fase de Gr'!$E$31,AT14,'Resultados Oficiales Fase de Gr'!$G$31)</f>
        <v>0</v>
      </c>
      <c r="AV14" s="85" t="str">
        <f>IF('Pollas Fase de Grupos'!AX14&gt;'Pollas Fase de Grupos'!AY14,'Pollas Fase de Grupos'!$AX$2,IF('Pollas Fase de Grupos'!AY14&gt;'Pollas Fase de Grupos'!AX14,'Pollas Fase de Grupos'!$AY$2,"EMPATE"))</f>
        <v>Dinamarca</v>
      </c>
      <c r="AW14" s="85">
        <f>PUNTAJE_GANADORES('Pollas Fase de Grupos'!AX14,'Resultados Oficiales Fase de Gr'!$D$32,'Pollas Fase de Grupos'!AY14,'Resultados Oficiales Fase de Gr'!$E$32,AV14,'Resultados Oficiales Fase de Gr'!$G$32)</f>
        <v>0</v>
      </c>
      <c r="AX14" s="85" t="str">
        <f>IF('Pollas Fase de Grupos'!AZ14&gt;'Pollas Fase de Grupos'!BA14,'Pollas Fase de Grupos'!$AZ$2,IF('Pollas Fase de Grupos'!BA14&gt;'Pollas Fase de Grupos'!AZ14,'Pollas Fase de Grupos'!$BA$2,"EMPATE"))</f>
        <v>EMPATE</v>
      </c>
      <c r="AY14" s="85">
        <f>PUNTAJE_GANADORES('Pollas Fase de Grupos'!AZ14,'Resultados Oficiales Fase de Gr'!$D$35,'Pollas Fase de Grupos'!BA14,'Resultados Oficiales Fase de Gr'!$E$35,AX14,'Resultados Oficiales Fase de Gr'!$G$35)</f>
        <v>0</v>
      </c>
      <c r="AZ14" s="85" t="str">
        <f>IF('Pollas Fase de Grupos'!BB14&gt;'Pollas Fase de Grupos'!BC14,'Pollas Fase de Grupos'!$BB$2,IF('Pollas Fase de Grupos'!BC14&gt;'Pollas Fase de Grupos'!BB14,'Pollas Fase de Grupos'!$BC$2,"EMPATE"))</f>
        <v>Alemania</v>
      </c>
      <c r="BA14" s="85">
        <f>PUNTAJE_GANADORES('Pollas Fase de Grupos'!BB14,'Resultados Oficiales Fase de Gr'!$D$36,'Pollas Fase de Grupos'!BC14,'Resultados Oficiales Fase de Gr'!$E$36,AZ14,'Resultados Oficiales Fase de Gr'!$G$36)</f>
        <v>0</v>
      </c>
      <c r="BB14" s="85" t="str">
        <f>IF('Pollas Fase de Grupos'!BD14&gt;'Pollas Fase de Grupos'!BE14,'Pollas Fase de Grupos'!$BD$2,IF('Pollas Fase de Grupos'!BE14&gt;'Pollas Fase de Grupos'!BD14,'Pollas Fase de Grupos'!$BE$2,"EMPATE"))</f>
        <v>EMPATE</v>
      </c>
      <c r="BC14" s="85">
        <f>PUNTAJE_GANADORES('Pollas Fase de Grupos'!BD14,'Resultados Oficiales Fase de Gr'!$D$37,'Pollas Fase de Grupos'!BE14,'Resultados Oficiales Fase de Gr'!$E$37,BB14,'Resultados Oficiales Fase de Gr'!$G$37)</f>
        <v>1</v>
      </c>
      <c r="BD14" s="85" t="str">
        <f>IF('Pollas Fase de Grupos'!BF14&gt;'Pollas Fase de Grupos'!BG14,'Pollas Fase de Grupos'!$BF$2,IF('Pollas Fase de Grupos'!BG14&gt;'Pollas Fase de Grupos'!BF14,'Pollas Fase de Grupos'!$BG$2,"EMPATE"))</f>
        <v>Costa Rica</v>
      </c>
      <c r="BE14" s="85">
        <f>PUNTAJE_GANADORES('Pollas Fase de Grupos'!BF14,'Resultados Oficiales Fase de Gr'!$D$38,'Pollas Fase de Grupos'!BG14,'Resultados Oficiales Fase de Gr'!$E$38,BD14,'Resultados Oficiales Fase de Gr'!$G$38)</f>
        <v>5</v>
      </c>
      <c r="BF14" s="85" t="str">
        <f>IF('Pollas Fase de Grupos'!BH14&gt;'Pollas Fase de Grupos'!BI14,'Pollas Fase de Grupos'!$BH$2,IF('Pollas Fase de Grupos'!BI14&gt;'Pollas Fase de Grupos'!BH14,'Pollas Fase de Grupos'!$BI$2,"EMPATE"))</f>
        <v>España</v>
      </c>
      <c r="BG14" s="85">
        <f>PUNTAJE_GANADORES('Pollas Fase de Grupos'!BH14,'Resultados Oficiales Fase de Gr'!$D$39,'Pollas Fase de Grupos'!BI14,'Resultados Oficiales Fase de Gr'!$E$39,BF14,'Resultados Oficiales Fase de Gr'!$G$39)</f>
        <v>1</v>
      </c>
      <c r="BH14" s="85" t="str">
        <f>IF('Pollas Fase de Grupos'!BJ14&gt;'Pollas Fase de Grupos'!BK14,'Pollas Fase de Grupos'!$BJ$2,IF('Pollas Fase de Grupos'!BK14&gt;'Pollas Fase de Grupos'!BJ14,'Pollas Fase de Grupos'!$BK$2,"EMPATE"))</f>
        <v>Alemania</v>
      </c>
      <c r="BI14" s="85">
        <f>PUNTAJE_GANADORES('Pollas Fase de Grupos'!BJ14,'Resultados Oficiales Fase de Gr'!$D$40,'Pollas Fase de Grupos'!BK14,'Resultados Oficiales Fase de Gr'!$E$40,BH14,'Resultados Oficiales Fase de Gr'!$G$40)</f>
        <v>2</v>
      </c>
      <c r="BJ14" s="85" t="str">
        <f>IF('Pollas Fase de Grupos'!BL14&gt;'Pollas Fase de Grupos'!BM14,'Pollas Fase de Grupos'!$BL$2,IF('Pollas Fase de Grupos'!BM14&gt;'Pollas Fase de Grupos'!BL14,'Pollas Fase de Grupos'!$BM$2,"EMPATE"))</f>
        <v>Belgica</v>
      </c>
      <c r="BK14" s="85">
        <f>PUNTAJE_GANADORES('Pollas Fase de Grupos'!BL14,'Resultados Oficiales Fase de Gr'!$D$43,'Pollas Fase de Grupos'!BM14,'Resultados Oficiales Fase de Gr'!$E$43,BJ14,'Resultados Oficiales Fase de Gr'!$G$43)</f>
        <v>5</v>
      </c>
      <c r="BL14" s="85" t="str">
        <f>IF('Pollas Fase de Grupos'!BN14&gt;'Pollas Fase de Grupos'!BO14,'Pollas Fase de Grupos'!$BN$2,IF('Pollas Fase de Grupos'!BO14&gt;'Pollas Fase de Grupos'!BN14,'Pollas Fase de Grupos'!$BO$2,"EMPATE"))</f>
        <v>Croacia</v>
      </c>
      <c r="BM14" s="85">
        <f>PUNTAJE_GANADORES('Pollas Fase de Grupos'!BN14,'Resultados Oficiales Fase de Gr'!$D$44,'Pollas Fase de Grupos'!BO14,'Resultados Oficiales Fase de Gr'!$E$44,BL14,'Resultados Oficiales Fase de Gr'!$G$44)</f>
        <v>1</v>
      </c>
      <c r="BN14" s="85" t="str">
        <f>IF('Pollas Fase de Grupos'!BP14&gt;'Pollas Fase de Grupos'!BQ14,'Pollas Fase de Grupos'!$BP$2,IF('Pollas Fase de Grupos'!BQ14&gt;'Pollas Fase de Grupos'!BP14,'Pollas Fase de Grupos'!$BQ$2,"EMPATE"))</f>
        <v>Belgica</v>
      </c>
      <c r="BO14" s="85">
        <f>PUNTAJE_GANADORES('Pollas Fase de Grupos'!BP14,'Resultados Oficiales Fase de Gr'!$D$45,'Pollas Fase de Grupos'!BQ14,'Resultados Oficiales Fase de Gr'!$E$45,BN14,'Resultados Oficiales Fase de Gr'!$G$45)</f>
        <v>0</v>
      </c>
      <c r="BP14" s="85" t="str">
        <f>IF('Pollas Fase de Grupos'!BR14&gt;'Pollas Fase de Grupos'!BS14,'Pollas Fase de Grupos'!$BR$2,IF('Pollas Fase de Grupos'!BS14&gt;'Pollas Fase de Grupos'!BR14,'Pollas Fase de Grupos'!$BS$2,"EMPATE"))</f>
        <v>Croacia</v>
      </c>
      <c r="BQ14" s="85">
        <f>PUNTAJE_GANADORES('Pollas Fase de Grupos'!BR14,'Resultados Oficiales Fase de Gr'!$D$46,'Pollas Fase de Grupos'!BS14,'Resultados Oficiales Fase de Gr'!$E$46,BP14,'Resultados Oficiales Fase de Gr'!$G$46)</f>
        <v>3</v>
      </c>
      <c r="BR14" s="85" t="str">
        <f>IF('Pollas Fase de Grupos'!BT14&gt;'Pollas Fase de Grupos'!BU14,'Pollas Fase de Grupos'!$BT$2,IF('Pollas Fase de Grupos'!BU14&gt;'Pollas Fase de Grupos'!BT14,'Pollas Fase de Grupos'!$BU$2,"EMPATE"))</f>
        <v>EMPATE</v>
      </c>
      <c r="BS14" s="85">
        <f>PUNTAJE_GANADORES('Pollas Fase de Grupos'!BT14,'Resultados Oficiales Fase de Gr'!$D$47,'Pollas Fase de Grupos'!BU14,'Resultados Oficiales Fase de Gr'!$E$47,BR14,'Resultados Oficiales Fase de Gr'!$G$47)</f>
        <v>1</v>
      </c>
      <c r="BT14" s="85" t="str">
        <f>IF('Pollas Fase de Grupos'!BV14&gt;'Pollas Fase de Grupos'!BW14,'Pollas Fase de Grupos'!$BV$2,IF('Pollas Fase de Grupos'!BW14&gt;'Pollas Fase de Grupos'!BV14,'Pollas Fase de Grupos'!$BW$2,"EMPATE"))</f>
        <v>EMPATE</v>
      </c>
      <c r="BU14" s="85">
        <f>PUNTAJE_GANADORES('Pollas Fase de Grupos'!BV14,'Resultados Oficiales Fase de Gr'!$D$48,'Pollas Fase de Grupos'!BW14,'Resultados Oficiales Fase de Gr'!$E$48,BT14,'Resultados Oficiales Fase de Gr'!$G$48)</f>
        <v>1</v>
      </c>
      <c r="BV14" s="85" t="str">
        <f>IF('Pollas Fase de Grupos'!BX14&gt;'Pollas Fase de Grupos'!BY14,'Pollas Fase de Grupos'!$BX$2,IF('Pollas Fase de Grupos'!BY14&gt;'Pollas Fase de Grupos'!BX14,'Pollas Fase de Grupos'!$BY$2,"EMPATE"))</f>
        <v>Brasil</v>
      </c>
      <c r="BW14" s="85">
        <f>PUNTAJE_GANADORES('Pollas Fase de Grupos'!BX14,'Resultados Oficiales Fase de Gr'!$D$51,'Pollas Fase de Grupos'!BY14,'Resultados Oficiales Fase de Gr'!$E$51,BV14,'Resultados Oficiales Fase de Gr'!$G$51)</f>
        <v>3</v>
      </c>
      <c r="BX14" s="85" t="str">
        <f>IF('Pollas Fase de Grupos'!BZ14&gt;'Pollas Fase de Grupos'!CA14,'Pollas Fase de Grupos'!$BZ$2,IF('Pollas Fase de Grupos'!CA14&gt;'Pollas Fase de Grupos'!BZ14,'Pollas Fase de Grupos'!$CA$2,"EMPATE"))</f>
        <v>Suiza</v>
      </c>
      <c r="BY14" s="85">
        <f>PUNTAJE_GANADORES('Pollas Fase de Grupos'!BZ14,'Resultados Oficiales Fase de Gr'!$D$52,'Pollas Fase de Grupos'!CA14,'Resultados Oficiales Fase de Gr'!$E$52,BX14,'Resultados Oficiales Fase de Gr'!$G$52)</f>
        <v>2</v>
      </c>
      <c r="BZ14" s="85" t="str">
        <f>IF('Pollas Fase de Grupos'!CB14&gt;'Pollas Fase de Grupos'!CC14,'Pollas Fase de Grupos'!$CB$2,IF('Pollas Fase de Grupos'!CC14&gt;'Pollas Fase de Grupos'!CB14,'Pollas Fase de Grupos'!$CC$2,"EMPATE"))</f>
        <v>Brasil</v>
      </c>
      <c r="CA14" s="85">
        <f>PUNTAJE_GANADORES('Pollas Fase de Grupos'!CB14,'Resultados Oficiales Fase de Gr'!$D$53,'Pollas Fase de Grupos'!CC14,'Resultados Oficiales Fase de Gr'!$E$53,BZ14,'Resultados Oficiales Fase de Gr'!$G$53)</f>
        <v>2</v>
      </c>
      <c r="CB14" s="85" t="str">
        <f>IF('Pollas Fase de Grupos'!CD14&gt;'Pollas Fase de Grupos'!CE14,'Pollas Fase de Grupos'!$CD$2,IF('Pollas Fase de Grupos'!CE14&gt;'Pollas Fase de Grupos'!CD14,'Pollas Fase de Grupos'!$CE$2,"EMPATE"))</f>
        <v>Serbia</v>
      </c>
      <c r="CC14" s="85">
        <f>PUNTAJE_GANADORES('Pollas Fase de Grupos'!CD14,'Resultados Oficiales Fase de Gr'!$D$54,'Pollas Fase de Grupos'!CE14,'Resultados Oficiales Fase de Gr'!$E$54,CB14,'Resultados Oficiales Fase de Gr'!$G$54)</f>
        <v>0</v>
      </c>
      <c r="CD14" s="85" t="str">
        <f>IF('Pollas Fase de Grupos'!CF14&gt;'Pollas Fase de Grupos'!CG14,'Pollas Fase de Grupos'!$CF$2,IF('Pollas Fase de Grupos'!CG14&gt;'Pollas Fase de Grupos'!CF14,'Pollas Fase de Grupos'!$CG$2,"EMPATE"))</f>
        <v>Brasil</v>
      </c>
      <c r="CE14" s="85">
        <f>PUNTAJE_GANADORES('Pollas Fase de Grupos'!CF14,'Resultados Oficiales Fase de Gr'!$D$55,'Pollas Fase de Grupos'!CG14,'Resultados Oficiales Fase de Gr'!$E$55,CD14,'Resultados Oficiales Fase de Gr'!$G$55)</f>
        <v>0</v>
      </c>
      <c r="CF14" s="85" t="str">
        <f>IF('Pollas Fase de Grupos'!CH14&gt;'Pollas Fase de Grupos'!CI14,'Pollas Fase de Grupos'!$CH$2,IF('Pollas Fase de Grupos'!CI14&gt;'Pollas Fase de Grupos'!CH14,'Pollas Fase de Grupos'!$CI$2,"EMPATE"))</f>
        <v>Suiza</v>
      </c>
      <c r="CG14" s="85">
        <f>PUNTAJE_GANADORES('Pollas Fase de Grupos'!CH14,'Resultados Oficiales Fase de Gr'!$D$56,'Pollas Fase de Grupos'!CI14,'Resultados Oficiales Fase de Gr'!$E$56,CF14,'Resultados Oficiales Fase de Gr'!$G$56)</f>
        <v>2</v>
      </c>
      <c r="CH14" s="85" t="str">
        <f>IF('Pollas Fase de Grupos'!CJ14&gt;'Pollas Fase de Grupos'!CK14,'Pollas Fase de Grupos'!$CJ$2,IF('Pollas Fase de Grupos'!CK14&gt;'Pollas Fase de Grupos'!CJ14,'Pollas Fase de Grupos'!$CK$2,"EMPATE"))</f>
        <v>Portugal</v>
      </c>
      <c r="CI14" s="85">
        <f>PUNTAJE_GANADORES('Pollas Fase de Grupos'!CJ14,'Resultados Oficiales Fase de Gr'!$D$59,'Pollas Fase de Grupos'!CK14,'Resultados Oficiales Fase de Gr'!$E$59,CH14,'Resultados Oficiales Fase de Gr'!$G$59)</f>
        <v>3</v>
      </c>
      <c r="CJ14" s="85" t="str">
        <f>IF('Pollas Fase de Grupos'!CL14&gt;'Pollas Fase de Grupos'!CM14,'Pollas Fase de Grupos'!$CL$2,IF('Pollas Fase de Grupos'!CM14&gt;'Pollas Fase de Grupos'!CL14,'Pollas Fase de Grupos'!$CM$2,"EMPATE"))</f>
        <v>Uruguay</v>
      </c>
      <c r="CK14" s="85">
        <f>PUNTAJE_GANADORES('Pollas Fase de Grupos'!CL14,'Resultados Oficiales Fase de Gr'!$D$60,'Pollas Fase de Grupos'!CM14,'Resultados Oficiales Fase de Gr'!$E$60,CJ14,'Resultados Oficiales Fase de Gr'!$G$60)</f>
        <v>0</v>
      </c>
      <c r="CL14" s="85" t="str">
        <f>IF('Pollas Fase de Grupos'!CN14&gt;'Pollas Fase de Grupos'!CO14,'Pollas Fase de Grupos'!$CN$2,IF('Pollas Fase de Grupos'!CO14&gt;'Pollas Fase de Grupos'!CN14,'Pollas Fase de Grupos'!$CO$2,"EMPATE"))</f>
        <v>EMPATE</v>
      </c>
      <c r="CM14" s="85">
        <f>PUNTAJE_GANADORES('Pollas Fase de Grupos'!CN14,'Resultados Oficiales Fase de Gr'!$D$61,'Pollas Fase de Grupos'!CO14,'Resultados Oficiales Fase de Gr'!$E$61,CL14,'Resultados Oficiales Fase de Gr'!$G$61)</f>
        <v>1</v>
      </c>
      <c r="CN14" s="85" t="str">
        <f>IF('Pollas Fase de Grupos'!CP14&gt;'Pollas Fase de Grupos'!CQ14,'Pollas Fase de Grupos'!$CP$2,IF('Pollas Fase de Grupos'!CQ14&gt;'Pollas Fase de Grupos'!CP14,'Pollas Fase de Grupos'!$CQ$2,"EMPATE"))</f>
        <v>Corea del Sur</v>
      </c>
      <c r="CO14" s="85">
        <f>PUNTAJE_GANADORES('Pollas Fase de Grupos'!CP14,'Resultados Oficiales Fase de Gr'!$D$62,'Pollas Fase de Grupos'!CQ14,'Resultados Oficiales Fase de Gr'!$E$62,CN14,'Resultados Oficiales Fase de Gr'!$G$62)</f>
        <v>0</v>
      </c>
      <c r="CP14" s="85" t="str">
        <f>IF('Pollas Fase de Grupos'!CR14&gt;'Pollas Fase de Grupos'!CS14,'Pollas Fase de Grupos'!$CR$2,IF('Pollas Fase de Grupos'!CS14&gt;'Pollas Fase de Grupos'!CR14,'Pollas Fase de Grupos'!$CS$2,"EMPATE"))</f>
        <v>Portugal</v>
      </c>
      <c r="CQ14" s="85">
        <f>PUNTAJE_GANADORES('Pollas Fase de Grupos'!CR14,'Resultados Oficiales Fase de Gr'!$D$63,'Pollas Fase de Grupos'!CS14,'Resultados Oficiales Fase de Gr'!$E$63,CP14,'Resultados Oficiales Fase de Gr'!$G$63)</f>
        <v>0</v>
      </c>
      <c r="CR14" s="85" t="str">
        <f>IF('Pollas Fase de Grupos'!CT14&gt;'Pollas Fase de Grupos'!CU14,'Pollas Fase de Grupos'!$CT$2,IF('Pollas Fase de Grupos'!CU14&gt;'Pollas Fase de Grupos'!CT14,'Pollas Fase de Grupos'!$CU$2,"EMPATE"))</f>
        <v>Uruguay</v>
      </c>
      <c r="CS14" s="85">
        <f>PUNTAJE_GANADORES('Pollas Fase de Grupos'!CT14,'Resultados Oficiales Fase de Gr'!$D$64,'Pollas Fase de Grupos'!CU14,'Resultados Oficiales Fase de Gr'!$E$64,CR14,'Resultados Oficiales Fase de Gr'!$G$64)</f>
        <v>5</v>
      </c>
      <c r="CT14" s="4">
        <f t="shared" si="1"/>
        <v>72</v>
      </c>
      <c r="CU14" s="17">
        <v>44.0</v>
      </c>
      <c r="CV14" s="3">
        <f t="shared" si="2"/>
        <v>73</v>
      </c>
    </row>
    <row r="15">
      <c r="A15" s="3" t="str">
        <f>'Pollas Fase de Grupos'!CV15</f>
        <v>Safiro y Acero</v>
      </c>
      <c r="B15" s="4" t="str">
        <f>IF('Pollas Fase de Grupos'!D15&gt;'Pollas Fase de Grupos'!E15,'Pollas Fase de Grupos'!$D$2,IF('Pollas Fase de Grupos'!E15&gt;'Pollas Fase de Grupos'!D15,'Pollas Fase de Grupos'!$E$2,"EMPATE"))</f>
        <v>Qatar</v>
      </c>
      <c r="C15" s="4">
        <f>PUNTAJE_GANADORES('Pollas Fase de Grupos'!D15,'Resultados Oficiales Fase de Gr'!$D$3,'Pollas Fase de Grupos'!E15,'Resultados Oficiales Fase de Gr'!$E$3,B15,'Resultados Oficiales Fase de Gr'!$G$3)</f>
        <v>0</v>
      </c>
      <c r="D15" s="85" t="str">
        <f>IF('Pollas Fase de Grupos'!F15&gt;'Pollas Fase de Grupos'!G15,'Pollas Fase de Grupos'!$F$2,IF('Pollas Fase de Grupos'!G15&gt;'Pollas Fase de Grupos'!F15,'Pollas Fase de Grupos'!$G$2,"EMPATE"))</f>
        <v>EMPATE</v>
      </c>
      <c r="E15" s="4">
        <f>PUNTAJE_GANADORES('Pollas Fase de Grupos'!F15,'Resultados Oficiales Fase de Gr'!$D$4,'Pollas Fase de Grupos'!G15,'Resultados Oficiales Fase de Gr'!$E$4,D15,'Resultados Oficiales Fase de Gr'!$G$4)</f>
        <v>0</v>
      </c>
      <c r="F15" s="85" t="str">
        <f>IF('Pollas Fase de Grupos'!H15&gt;'Pollas Fase de Grupos'!I15,'Pollas Fase de Grupos'!$H$2,IF('Pollas Fase de Grupos'!I15&gt;'Pollas Fase de Grupos'!H15,'Pollas Fase de Grupos'!$I$2,"EMPATE"))</f>
        <v>Senegal</v>
      </c>
      <c r="G15" s="4">
        <f>PUNTAJE_GANADORES('Pollas Fase de Grupos'!H15,'Resultados Oficiales Fase de Gr'!$D$5,'Pollas Fase de Grupos'!I15,'Resultados Oficiales Fase de Gr'!$E$5,F15,'Resultados Oficiales Fase de Gr'!$G$5)</f>
        <v>3</v>
      </c>
      <c r="H15" s="85" t="str">
        <f>IF('Pollas Fase de Grupos'!J15&gt;'Pollas Fase de Grupos'!K15,'Pollas Fase de Grupos'!$J$2,IF('Pollas Fase de Grupos'!K15&gt;'Pollas Fase de Grupos'!J15,'Pollas Fase de Grupos'!$K$2,"EMPATE"))</f>
        <v>Paises Bajos</v>
      </c>
      <c r="I15" s="4">
        <f>PUNTAJE_GANADORES('Pollas Fase de Grupos'!J15,'Resultados Oficiales Fase de Gr'!$D$6,'Pollas Fase de Grupos'!K15,'Resultados Oficiales Fase de Gr'!$E$6,H15,'Resultados Oficiales Fase de Gr'!$G$6)</f>
        <v>1</v>
      </c>
      <c r="J15" s="85" t="str">
        <f>IF('Pollas Fase de Grupos'!L15&gt;'Pollas Fase de Grupos'!M15,'Pollas Fase de Grupos'!$L$2,IF('Pollas Fase de Grupos'!M15&gt;'Pollas Fase de Grupos'!L15,'Pollas Fase de Grupos'!$M$2,"EMPATE"))</f>
        <v>Paises Bajos</v>
      </c>
      <c r="K15" s="4">
        <f>PUNTAJE_GANADORES('Pollas Fase de Grupos'!L15,'Resultados Oficiales Fase de Gr'!$D$7,'Pollas Fase de Grupos'!M15,'Resultados Oficiales Fase de Gr'!$E$7,J15,'Resultados Oficiales Fase de Gr'!$G$7)</f>
        <v>3</v>
      </c>
      <c r="L15" s="85" t="str">
        <f>IF('Pollas Fase de Grupos'!N15&gt;'Pollas Fase de Grupos'!O15,'Pollas Fase de Grupos'!$N$2,IF('Pollas Fase de Grupos'!O15&gt;'Pollas Fase de Grupos'!N15,'Pollas Fase de Grupos'!$O$2,"EMPATE"))</f>
        <v>Senegal</v>
      </c>
      <c r="M15" s="85">
        <f>PUNTAJE_GANADORES('Pollas Fase de Grupos'!N15,'Resultados Oficiales Fase de Gr'!$D$8,'Pollas Fase de Grupos'!O15,'Resultados Oficiales Fase de Gr'!$E$8,L15,'Resultados Oficiales Fase de Gr'!$G$8)</f>
        <v>5</v>
      </c>
      <c r="N15" s="85" t="str">
        <f>IF('Pollas Fase de Grupos'!P15&gt;'Pollas Fase de Grupos'!Q15,'Pollas Fase de Grupos'!$P$2,IF('Pollas Fase de Grupos'!Q15&gt;'Pollas Fase de Grupos'!P15,'Pollas Fase de Grupos'!$Q$2,"EMPATE"))</f>
        <v>Inglaterra</v>
      </c>
      <c r="O15" s="85">
        <f>PUNTAJE_GANADORES('Pollas Fase de Grupos'!P15,'Resultados Oficiales Fase de Gr'!$D$11,'Pollas Fase de Grupos'!Q15,'Resultados Oficiales Fase de Gr'!$E$11,N15,'Resultados Oficiales Fase de Gr'!$G$11)</f>
        <v>2</v>
      </c>
      <c r="P15" s="4" t="str">
        <f>IF('Pollas Fase de Grupos'!R15&gt;'Pollas Fase de Grupos'!S15,'Pollas Fase de Grupos'!$R$2,IF('Pollas Fase de Grupos'!S15&gt;'Pollas Fase de Grupos'!R15,'Pollas Fase de Grupos'!$S$2,"EMPATE"))</f>
        <v>Estados Unidos</v>
      </c>
      <c r="Q15" s="85">
        <f>PUNTAJE_GANADORES('Pollas Fase de Grupos'!R15,'Resultados Oficiales Fase de Gr'!$D$12,'Pollas Fase de Grupos'!S15,'Resultados Oficiales Fase de Gr'!$E$12,P15,'Resultados Oficiales Fase de Gr'!$G$12)</f>
        <v>0</v>
      </c>
      <c r="R15" s="85" t="str">
        <f>IF('Pollas Fase de Grupos'!T15&gt;'Pollas Fase de Grupos'!U15,'Pollas Fase de Grupos'!$T$2,IF('Pollas Fase de Grupos'!U15&gt;'Pollas Fase de Grupos'!T15,'Pollas Fase de Grupos'!$U$2,"EMPATE"))</f>
        <v>Inglaterra</v>
      </c>
      <c r="S15" s="4">
        <f>PUNTAJE_GANADORES('Pollas Fase de Grupos'!T15,'Resultados Oficiales Fase de Gr'!$D$13,'Pollas Fase de Grupos'!U15,'Resultados Oficiales Fase de Gr'!$E$13,R15,'Resultados Oficiales Fase de Gr'!$G$13)</f>
        <v>0</v>
      </c>
      <c r="T15" s="85" t="str">
        <f>IF('Pollas Fase de Grupos'!V15&gt;'Pollas Fase de Grupos'!W15,'Pollas Fase de Grupos'!$V$2,IF('Pollas Fase de Grupos'!W15&gt;'Pollas Fase de Grupos'!V15,'Pollas Fase de Grupos'!$W$2,"EMPATE"))</f>
        <v>EMPATE</v>
      </c>
      <c r="U15" s="86">
        <f>PUNTAJE_GANADORES('Pollas Fase de Grupos'!V15,'Resultados Oficiales Fase de Gr'!$D$14,'Pollas Fase de Grupos'!W15,'Resultados Oficiales Fase de Gr'!$E$14,T15,'Resultados Oficiales Fase de Gr'!$G$14)</f>
        <v>0</v>
      </c>
      <c r="V15" s="85" t="str">
        <f>IF('Pollas Fase de Grupos'!X15&gt;'Pollas Fase de Grupos'!Y15,'Pollas Fase de Grupos'!$X$2,IF('Pollas Fase de Grupos'!Y15&gt;'Pollas Fase de Grupos'!X15,'Pollas Fase de Grupos'!$Y$2,"EMPATE"))</f>
        <v>Inglaterra</v>
      </c>
      <c r="W15" s="85">
        <f>PUNTAJE_GANADORES('Pollas Fase de Grupos'!X15,'Resultados Oficiales Fase de Gr'!$D$15,'Pollas Fase de Grupos'!Y15,'Resultados Oficiales Fase de Gr'!$E$15,V15,'Resultados Oficiales Fase de Gr'!$G$15)</f>
        <v>2</v>
      </c>
      <c r="X15" s="85" t="str">
        <f>IF('Pollas Fase de Grupos'!Z15&gt;'Pollas Fase de Grupos'!AA15,'Pollas Fase de Grupos'!$Z$2,IF('Pollas Fase de Grupos'!AA15&gt;'Pollas Fase de Grupos'!Z15,'Pollas Fase de Grupos'!$AA$2,"EMPATE"))</f>
        <v>Estados Unidos</v>
      </c>
      <c r="Y15" s="87">
        <f>PUNTAJE_GANADORES('Pollas Fase de Grupos'!Z15,'Resultados Oficiales Fase de Gr'!$D$16,'Pollas Fase de Grupos'!AA15,'Resultados Oficiales Fase de Gr'!$E$16,X15,'Resultados Oficiales Fase de Gr'!$G$16)</f>
        <v>5</v>
      </c>
      <c r="Z15" s="85" t="str">
        <f>IF('Pollas Fase de Grupos'!AB15&gt;'Pollas Fase de Grupos'!AC15,'Pollas Fase de Grupos'!$AB$2,IF('Pollas Fase de Grupos'!AC15&gt;'Pollas Fase de Grupos'!AB15,'Pollas Fase de Grupos'!$AC$2,"EMPATE"))</f>
        <v>Argentina</v>
      </c>
      <c r="AA15" s="85">
        <f>PUNTAJE_GANADORES('Pollas Fase de Grupos'!AB15,'Resultados Oficiales Fase de Gr'!$D$19,'Pollas Fase de Grupos'!AC15,'Resultados Oficiales Fase de Gr'!$E$19,Z15,'Resultados Oficiales Fase de Gr'!$G$19)</f>
        <v>0</v>
      </c>
      <c r="AB15" s="85" t="str">
        <f>IF('Pollas Fase de Grupos'!AD15&gt;'Pollas Fase de Grupos'!AE15,'Pollas Fase de Grupos'!$AD$2,IF('Pollas Fase de Grupos'!AE15&gt;'Pollas Fase de Grupos'!AD15,'Pollas Fase de Grupos'!$AE$2,"EMPATE"))</f>
        <v>Polonia</v>
      </c>
      <c r="AC15" s="85">
        <f>PUNTAJE_GANADORES('Pollas Fase de Grupos'!AD15,'Resultados Oficiales Fase de Gr'!$D$20,'Pollas Fase de Grupos'!AE15,'Resultados Oficiales Fase de Gr'!$E$20,AB15,'Resultados Oficiales Fase de Gr'!$G$20)</f>
        <v>0</v>
      </c>
      <c r="AD15" s="85" t="str">
        <f>IF('Pollas Fase de Grupos'!AF15&gt;'Pollas Fase de Grupos'!AG15,'Pollas Fase de Grupos'!$AF$2,IF('Pollas Fase de Grupos'!AG15&gt;'Pollas Fase de Grupos'!AF15,'Pollas Fase de Grupos'!$AG$2,"EMPATE"))</f>
        <v>Argentina</v>
      </c>
      <c r="AE15" s="85">
        <f>PUNTAJE_GANADORES('Pollas Fase de Grupos'!AF15,'Resultados Oficiales Fase de Gr'!$D$21,'Pollas Fase de Grupos'!AG15,'Resultados Oficiales Fase de Gr'!$E$21,AD15,'Resultados Oficiales Fase de Gr'!$G$21)</f>
        <v>3</v>
      </c>
      <c r="AF15" s="85" t="str">
        <f>IF('Pollas Fase de Grupos'!AH15&gt;'Pollas Fase de Grupos'!AI15,'Pollas Fase de Grupos'!$AH$2,IF('Pollas Fase de Grupos'!AI15&gt;'Pollas Fase de Grupos'!AH15,'Pollas Fase de Grupos'!$AI$2,"EMPATE"))</f>
        <v>Polonia</v>
      </c>
      <c r="AG15" s="85">
        <f>PUNTAJE_GANADORES('Pollas Fase de Grupos'!AH15,'Resultados Oficiales Fase de Gr'!$D$22,'Pollas Fase de Grupos'!AI15,'Resultados Oficiales Fase de Gr'!$E$22,AF15,'Resultados Oficiales Fase de Gr'!$G$22)</f>
        <v>5</v>
      </c>
      <c r="AH15" s="85" t="str">
        <f>IF('Pollas Fase de Grupos'!AJ15&gt;'Pollas Fase de Grupos'!AK15,'Pollas Fase de Grupos'!$AJ$2,IF('Pollas Fase de Grupos'!AK15&gt;'Pollas Fase de Grupos'!AJ15,'Pollas Fase de Grupos'!$AK$2,"EMPATE"))</f>
        <v>EMPATE</v>
      </c>
      <c r="AI15" s="85">
        <f>PUNTAJE_GANADORES('Pollas Fase de Grupos'!AJ15,'Resultados Oficiales Fase de Gr'!$D$23,'Pollas Fase de Grupos'!AK15,'Resultados Oficiales Fase de Gr'!$E$23,AH15,'Resultados Oficiales Fase de Gr'!$G$23)</f>
        <v>0</v>
      </c>
      <c r="AJ15" s="85" t="str">
        <f>IF('Pollas Fase de Grupos'!AL15&gt;'Pollas Fase de Grupos'!AM15,'Pollas Fase de Grupos'!$AL$2,IF('Pollas Fase de Grupos'!AM15&gt;'Pollas Fase de Grupos'!AL15,'Pollas Fase de Grupos'!$AM$2,"EMPATE"))</f>
        <v>Mexico</v>
      </c>
      <c r="AK15" s="85">
        <f>PUNTAJE_GANADORES('Pollas Fase de Grupos'!AL15,'Resultados Oficiales Fase de Gr'!$D$24,'Pollas Fase de Grupos'!AM15,'Resultados Oficiales Fase de Gr'!$E$24,AJ15,'Resultados Oficiales Fase de Gr'!$G$24)</f>
        <v>3</v>
      </c>
      <c r="AL15" s="85" t="str">
        <f>IF('Pollas Fase de Grupos'!AN15&gt;'Pollas Fase de Grupos'!AO15,'Pollas Fase de Grupos'!$AN$2,IF('Pollas Fase de Grupos'!AO15&gt;'Pollas Fase de Grupos'!AN15,'Pollas Fase de Grupos'!$AO$2,"EMPATE"))</f>
        <v>Francia</v>
      </c>
      <c r="AM15" s="85">
        <f>PUNTAJE_GANADORES('Pollas Fase de Grupos'!AN15,'Resultados Oficiales Fase de Gr'!$D$27,'Pollas Fase de Grupos'!AO15,'Resultados Oficiales Fase de Gr'!$E$27,AL15,'Resultados Oficiales Fase de Gr'!$G$27)</f>
        <v>2</v>
      </c>
      <c r="AN15" s="85" t="str">
        <f>IF('Pollas Fase de Grupos'!AP15&gt;'Pollas Fase de Grupos'!AQ15,'Pollas Fase de Grupos'!$AP$2,IF('Pollas Fase de Grupos'!AQ15&gt;'Pollas Fase de Grupos'!AP15,'Pollas Fase de Grupos'!$AQ$2,"EMPATE"))</f>
        <v>Dinamarca</v>
      </c>
      <c r="AO15" s="85">
        <f>PUNTAJE_GANADORES('Pollas Fase de Grupos'!AP15,'Resultados Oficiales Fase de Gr'!$D$28,'Pollas Fase de Grupos'!AQ15,'Resultados Oficiales Fase de Gr'!$E$28,AN15,'Resultados Oficiales Fase de Gr'!$G$28)</f>
        <v>0</v>
      </c>
      <c r="AP15" s="85" t="str">
        <f>IF('Pollas Fase de Grupos'!AR15&gt;'Pollas Fase de Grupos'!AS15,'Pollas Fase de Grupos'!$AR$2,IF('Pollas Fase de Grupos'!AS15&gt;'Pollas Fase de Grupos'!AR15,'Pollas Fase de Grupos'!$AS$2,"EMPATE"))</f>
        <v>Dinamarca</v>
      </c>
      <c r="AQ15" s="85">
        <f>PUNTAJE_GANADORES('Pollas Fase de Grupos'!AR15,'Resultados Oficiales Fase de Gr'!$D$29,'Pollas Fase de Grupos'!AS15,'Resultados Oficiales Fase de Gr'!$E$29,AP15,'Resultados Oficiales Fase de Gr'!$G$29)</f>
        <v>0</v>
      </c>
      <c r="AR15" s="85" t="str">
        <f>IF('Pollas Fase de Grupos'!AT15&gt;'Pollas Fase de Grupos'!AU15,'Pollas Fase de Grupos'!$AT$2,IF('Pollas Fase de Grupos'!AU15&gt;'Pollas Fase de Grupos'!AT15,'Pollas Fase de Grupos'!$AU$2,"EMPATE"))</f>
        <v>EMPATE</v>
      </c>
      <c r="AS15" s="85">
        <f>PUNTAJE_GANADORES('Pollas Fase de Grupos'!AT15,'Resultados Oficiales Fase de Gr'!$D$30,'Pollas Fase de Grupos'!AU15,'Resultados Oficiales Fase de Gr'!$E$30,AR15,'Resultados Oficiales Fase de Gr'!$G$30)</f>
        <v>1</v>
      </c>
      <c r="AT15" s="85" t="str">
        <f>IF('Pollas Fase de Grupos'!AV15&gt;'Pollas Fase de Grupos'!AW15,'Pollas Fase de Grupos'!$AV$2,IF('Pollas Fase de Grupos'!AW15&gt;'Pollas Fase de Grupos'!AV15,'Pollas Fase de Grupos'!$AW$2,"EMPATE"))</f>
        <v>Francia</v>
      </c>
      <c r="AU15" s="85">
        <f>PUNTAJE_GANADORES('Pollas Fase de Grupos'!AV15,'Resultados Oficiales Fase de Gr'!$D$31,'Pollas Fase de Grupos'!AW15,'Resultados Oficiales Fase de Gr'!$E$31,AT15,'Resultados Oficiales Fase de Gr'!$G$31)</f>
        <v>0</v>
      </c>
      <c r="AV15" s="85" t="str">
        <f>IF('Pollas Fase de Grupos'!AX15&gt;'Pollas Fase de Grupos'!AY15,'Pollas Fase de Grupos'!$AX$2,IF('Pollas Fase de Grupos'!AY15&gt;'Pollas Fase de Grupos'!AX15,'Pollas Fase de Grupos'!$AY$2,"EMPATE"))</f>
        <v>Dinamarca</v>
      </c>
      <c r="AW15" s="85">
        <f>PUNTAJE_GANADORES('Pollas Fase de Grupos'!AX15,'Resultados Oficiales Fase de Gr'!$D$32,'Pollas Fase de Grupos'!AY15,'Resultados Oficiales Fase de Gr'!$E$32,AV15,'Resultados Oficiales Fase de Gr'!$G$32)</f>
        <v>0</v>
      </c>
      <c r="AX15" s="85" t="str">
        <f>IF('Pollas Fase de Grupos'!AZ15&gt;'Pollas Fase de Grupos'!BA15,'Pollas Fase de Grupos'!$AZ$2,IF('Pollas Fase de Grupos'!BA15&gt;'Pollas Fase de Grupos'!AZ15,'Pollas Fase de Grupos'!$BA$2,"EMPATE"))</f>
        <v>España</v>
      </c>
      <c r="AY15" s="85">
        <f>PUNTAJE_GANADORES('Pollas Fase de Grupos'!AZ15,'Resultados Oficiales Fase de Gr'!$D$35,'Pollas Fase de Grupos'!BA15,'Resultados Oficiales Fase de Gr'!$E$35,AX15,'Resultados Oficiales Fase de Gr'!$G$35)</f>
        <v>1</v>
      </c>
      <c r="AZ15" s="85" t="str">
        <f>IF('Pollas Fase de Grupos'!BB15&gt;'Pollas Fase de Grupos'!BC15,'Pollas Fase de Grupos'!$BB$2,IF('Pollas Fase de Grupos'!BC15&gt;'Pollas Fase de Grupos'!BB15,'Pollas Fase de Grupos'!$BC$2,"EMPATE"))</f>
        <v>EMPATE</v>
      </c>
      <c r="BA15" s="85">
        <f>PUNTAJE_GANADORES('Pollas Fase de Grupos'!BB15,'Resultados Oficiales Fase de Gr'!$D$36,'Pollas Fase de Grupos'!BC15,'Resultados Oficiales Fase de Gr'!$E$36,AZ15,'Resultados Oficiales Fase de Gr'!$G$36)</f>
        <v>1</v>
      </c>
      <c r="BB15" s="85" t="str">
        <f>IF('Pollas Fase de Grupos'!BD15&gt;'Pollas Fase de Grupos'!BE15,'Pollas Fase de Grupos'!$BD$2,IF('Pollas Fase de Grupos'!BE15&gt;'Pollas Fase de Grupos'!BD15,'Pollas Fase de Grupos'!$BE$2,"EMPATE"))</f>
        <v>EMPATE</v>
      </c>
      <c r="BC15" s="85">
        <f>PUNTAJE_GANADORES('Pollas Fase de Grupos'!BD15,'Resultados Oficiales Fase de Gr'!$D$37,'Pollas Fase de Grupos'!BE15,'Resultados Oficiales Fase de Gr'!$E$37,BB15,'Resultados Oficiales Fase de Gr'!$G$37)</f>
        <v>1</v>
      </c>
      <c r="BD15" s="85" t="str">
        <f>IF('Pollas Fase de Grupos'!BF15&gt;'Pollas Fase de Grupos'!BG15,'Pollas Fase de Grupos'!$BF$2,IF('Pollas Fase de Grupos'!BG15&gt;'Pollas Fase de Grupos'!BF15,'Pollas Fase de Grupos'!$BG$2,"EMPATE"))</f>
        <v>Japon</v>
      </c>
      <c r="BE15" s="85">
        <f>PUNTAJE_GANADORES('Pollas Fase de Grupos'!BF15,'Resultados Oficiales Fase de Gr'!$D$38,'Pollas Fase de Grupos'!BG15,'Resultados Oficiales Fase de Gr'!$E$38,BD15,'Resultados Oficiales Fase de Gr'!$G$38)</f>
        <v>0</v>
      </c>
      <c r="BF15" s="85" t="str">
        <f>IF('Pollas Fase de Grupos'!BH15&gt;'Pollas Fase de Grupos'!BI15,'Pollas Fase de Grupos'!$BH$2,IF('Pollas Fase de Grupos'!BI15&gt;'Pollas Fase de Grupos'!BH15,'Pollas Fase de Grupos'!$BI$2,"EMPATE"))</f>
        <v>EMPATE</v>
      </c>
      <c r="BG15" s="85">
        <f>PUNTAJE_GANADORES('Pollas Fase de Grupos'!BH15,'Resultados Oficiales Fase de Gr'!$D$39,'Pollas Fase de Grupos'!BI15,'Resultados Oficiales Fase de Gr'!$E$39,BF15,'Resultados Oficiales Fase de Gr'!$G$39)</f>
        <v>1</v>
      </c>
      <c r="BH15" s="85" t="str">
        <f>IF('Pollas Fase de Grupos'!BJ15&gt;'Pollas Fase de Grupos'!BK15,'Pollas Fase de Grupos'!$BJ$2,IF('Pollas Fase de Grupos'!BK15&gt;'Pollas Fase de Grupos'!BJ15,'Pollas Fase de Grupos'!$BK$2,"EMPATE"))</f>
        <v>Alemania</v>
      </c>
      <c r="BI15" s="85">
        <f>PUNTAJE_GANADORES('Pollas Fase de Grupos'!BJ15,'Resultados Oficiales Fase de Gr'!$D$40,'Pollas Fase de Grupos'!BK15,'Resultados Oficiales Fase de Gr'!$E$40,BH15,'Resultados Oficiales Fase de Gr'!$G$40)</f>
        <v>2</v>
      </c>
      <c r="BJ15" s="85" t="str">
        <f>IF('Pollas Fase de Grupos'!BL15&gt;'Pollas Fase de Grupos'!BM15,'Pollas Fase de Grupos'!$BL$2,IF('Pollas Fase de Grupos'!BM15&gt;'Pollas Fase de Grupos'!BL15,'Pollas Fase de Grupos'!$BM$2,"EMPATE"))</f>
        <v>Belgica</v>
      </c>
      <c r="BK15" s="85">
        <f>PUNTAJE_GANADORES('Pollas Fase de Grupos'!BL15,'Resultados Oficiales Fase de Gr'!$D$43,'Pollas Fase de Grupos'!BM15,'Resultados Oficiales Fase de Gr'!$E$43,BJ15,'Resultados Oficiales Fase de Gr'!$G$43)</f>
        <v>3</v>
      </c>
      <c r="BL15" s="85" t="str">
        <f>IF('Pollas Fase de Grupos'!BN15&gt;'Pollas Fase de Grupos'!BO15,'Pollas Fase de Grupos'!$BN$2,IF('Pollas Fase de Grupos'!BO15&gt;'Pollas Fase de Grupos'!BN15,'Pollas Fase de Grupos'!$BO$2,"EMPATE"))</f>
        <v>Croacia</v>
      </c>
      <c r="BM15" s="85">
        <f>PUNTAJE_GANADORES('Pollas Fase de Grupos'!BN15,'Resultados Oficiales Fase de Gr'!$D$44,'Pollas Fase de Grupos'!BO15,'Resultados Oficiales Fase de Gr'!$E$44,BL15,'Resultados Oficiales Fase de Gr'!$G$44)</f>
        <v>1</v>
      </c>
      <c r="BN15" s="85" t="str">
        <f>IF('Pollas Fase de Grupos'!BP15&gt;'Pollas Fase de Grupos'!BQ15,'Pollas Fase de Grupos'!$BP$2,IF('Pollas Fase de Grupos'!BQ15&gt;'Pollas Fase de Grupos'!BP15,'Pollas Fase de Grupos'!$BQ$2,"EMPATE"))</f>
        <v>Belgica</v>
      </c>
      <c r="BO15" s="85">
        <f>PUNTAJE_GANADORES('Pollas Fase de Grupos'!BP15,'Resultados Oficiales Fase de Gr'!$D$45,'Pollas Fase de Grupos'!BQ15,'Resultados Oficiales Fase de Gr'!$E$45,BN15,'Resultados Oficiales Fase de Gr'!$G$45)</f>
        <v>0</v>
      </c>
      <c r="BP15" s="85" t="str">
        <f>IF('Pollas Fase de Grupos'!BR15&gt;'Pollas Fase de Grupos'!BS15,'Pollas Fase de Grupos'!$BR$2,IF('Pollas Fase de Grupos'!BS15&gt;'Pollas Fase de Grupos'!BR15,'Pollas Fase de Grupos'!$BS$2,"EMPATE"))</f>
        <v>Croacia</v>
      </c>
      <c r="BQ15" s="85">
        <f>PUNTAJE_GANADORES('Pollas Fase de Grupos'!BR15,'Resultados Oficiales Fase de Gr'!$D$46,'Pollas Fase de Grupos'!BS15,'Resultados Oficiales Fase de Gr'!$E$46,BP15,'Resultados Oficiales Fase de Gr'!$G$46)</f>
        <v>2</v>
      </c>
      <c r="BR15" s="85" t="str">
        <f>IF('Pollas Fase de Grupos'!BT15&gt;'Pollas Fase de Grupos'!BU15,'Pollas Fase de Grupos'!$BT$2,IF('Pollas Fase de Grupos'!BU15&gt;'Pollas Fase de Grupos'!BT15,'Pollas Fase de Grupos'!$BU$2,"EMPATE"))</f>
        <v>EMPATE</v>
      </c>
      <c r="BS15" s="85">
        <f>PUNTAJE_GANADORES('Pollas Fase de Grupos'!BT15,'Resultados Oficiales Fase de Gr'!$D$47,'Pollas Fase de Grupos'!BU15,'Resultados Oficiales Fase de Gr'!$E$47,BR15,'Resultados Oficiales Fase de Gr'!$G$47)</f>
        <v>1</v>
      </c>
      <c r="BT15" s="85" t="str">
        <f>IF('Pollas Fase de Grupos'!BV15&gt;'Pollas Fase de Grupos'!BW15,'Pollas Fase de Grupos'!$BV$2,IF('Pollas Fase de Grupos'!BW15&gt;'Pollas Fase de Grupos'!BV15,'Pollas Fase de Grupos'!$BW$2,"EMPATE"))</f>
        <v>Canada</v>
      </c>
      <c r="BU15" s="85">
        <f>PUNTAJE_GANADORES('Pollas Fase de Grupos'!BV15,'Resultados Oficiales Fase de Gr'!$D$48,'Pollas Fase de Grupos'!BW15,'Resultados Oficiales Fase de Gr'!$E$48,BT15,'Resultados Oficiales Fase de Gr'!$G$48)</f>
        <v>1</v>
      </c>
      <c r="BV15" s="85" t="str">
        <f>IF('Pollas Fase de Grupos'!BX15&gt;'Pollas Fase de Grupos'!BY15,'Pollas Fase de Grupos'!$BX$2,IF('Pollas Fase de Grupos'!BY15&gt;'Pollas Fase de Grupos'!BX15,'Pollas Fase de Grupos'!$BY$2,"EMPATE"))</f>
        <v>Brasil</v>
      </c>
      <c r="BW15" s="85">
        <f>PUNTAJE_GANADORES('Pollas Fase de Grupos'!BX15,'Resultados Oficiales Fase de Gr'!$D$51,'Pollas Fase de Grupos'!BY15,'Resultados Oficiales Fase de Gr'!$E$51,BV15,'Resultados Oficiales Fase de Gr'!$G$51)</f>
        <v>2</v>
      </c>
      <c r="BX15" s="85" t="str">
        <f>IF('Pollas Fase de Grupos'!BZ15&gt;'Pollas Fase de Grupos'!CA15,'Pollas Fase de Grupos'!$BZ$2,IF('Pollas Fase de Grupos'!CA15&gt;'Pollas Fase de Grupos'!BZ15,'Pollas Fase de Grupos'!$CA$2,"EMPATE"))</f>
        <v>EMPATE</v>
      </c>
      <c r="BY15" s="85">
        <f>PUNTAJE_GANADORES('Pollas Fase de Grupos'!BZ15,'Resultados Oficiales Fase de Gr'!$D$52,'Pollas Fase de Grupos'!CA15,'Resultados Oficiales Fase de Gr'!$E$52,BX15,'Resultados Oficiales Fase de Gr'!$G$52)</f>
        <v>1</v>
      </c>
      <c r="BZ15" s="85" t="str">
        <f>IF('Pollas Fase de Grupos'!CB15&gt;'Pollas Fase de Grupos'!CC15,'Pollas Fase de Grupos'!$CB$2,IF('Pollas Fase de Grupos'!CC15&gt;'Pollas Fase de Grupos'!CB15,'Pollas Fase de Grupos'!$CC$2,"EMPATE"))</f>
        <v>Brasil</v>
      </c>
      <c r="CA15" s="85">
        <f>PUNTAJE_GANADORES('Pollas Fase de Grupos'!CB15,'Resultados Oficiales Fase de Gr'!$D$53,'Pollas Fase de Grupos'!CC15,'Resultados Oficiales Fase de Gr'!$E$53,BZ15,'Resultados Oficiales Fase de Gr'!$G$53)</f>
        <v>3</v>
      </c>
      <c r="CB15" s="85" t="str">
        <f>IF('Pollas Fase de Grupos'!CD15&gt;'Pollas Fase de Grupos'!CE15,'Pollas Fase de Grupos'!$CD$2,IF('Pollas Fase de Grupos'!CE15&gt;'Pollas Fase de Grupos'!CD15,'Pollas Fase de Grupos'!$CE$2,"EMPATE"))</f>
        <v>Serbia</v>
      </c>
      <c r="CC15" s="85">
        <f>PUNTAJE_GANADORES('Pollas Fase de Grupos'!CD15,'Resultados Oficiales Fase de Gr'!$D$54,'Pollas Fase de Grupos'!CE15,'Resultados Oficiales Fase de Gr'!$E$54,CB15,'Resultados Oficiales Fase de Gr'!$G$54)</f>
        <v>0</v>
      </c>
      <c r="CD15" s="85" t="str">
        <f>IF('Pollas Fase de Grupos'!CF15&gt;'Pollas Fase de Grupos'!CG15,'Pollas Fase de Grupos'!$CF$2,IF('Pollas Fase de Grupos'!CG15&gt;'Pollas Fase de Grupos'!CF15,'Pollas Fase de Grupos'!$CG$2,"EMPATE"))</f>
        <v>Brasil</v>
      </c>
      <c r="CE15" s="85">
        <f>PUNTAJE_GANADORES('Pollas Fase de Grupos'!CF15,'Resultados Oficiales Fase de Gr'!$D$55,'Pollas Fase de Grupos'!CG15,'Resultados Oficiales Fase de Gr'!$E$55,CD15,'Resultados Oficiales Fase de Gr'!$G$55)</f>
        <v>0</v>
      </c>
      <c r="CF15" s="85" t="str">
        <f>IF('Pollas Fase de Grupos'!CH15&gt;'Pollas Fase de Grupos'!CI15,'Pollas Fase de Grupos'!$CH$2,IF('Pollas Fase de Grupos'!CI15&gt;'Pollas Fase de Grupos'!CH15,'Pollas Fase de Grupos'!$CI$2,"EMPATE"))</f>
        <v>Serbia</v>
      </c>
      <c r="CG15" s="85">
        <f>PUNTAJE_GANADORES('Pollas Fase de Grupos'!CH15,'Resultados Oficiales Fase de Gr'!$D$56,'Pollas Fase de Grupos'!CI15,'Resultados Oficiales Fase de Gr'!$E$56,CF15,'Resultados Oficiales Fase de Gr'!$G$56)</f>
        <v>0</v>
      </c>
      <c r="CH15" s="85" t="str">
        <f>IF('Pollas Fase de Grupos'!CJ15&gt;'Pollas Fase de Grupos'!CK15,'Pollas Fase de Grupos'!$CJ$2,IF('Pollas Fase de Grupos'!CK15&gt;'Pollas Fase de Grupos'!CJ15,'Pollas Fase de Grupos'!$CK$2,"EMPATE"))</f>
        <v>Portugal</v>
      </c>
      <c r="CI15" s="85">
        <f>PUNTAJE_GANADORES('Pollas Fase de Grupos'!CJ15,'Resultados Oficiales Fase de Gr'!$D$59,'Pollas Fase de Grupos'!CK15,'Resultados Oficiales Fase de Gr'!$E$59,CH15,'Resultados Oficiales Fase de Gr'!$G$59)</f>
        <v>2</v>
      </c>
      <c r="CJ15" s="85" t="str">
        <f>IF('Pollas Fase de Grupos'!CL15&gt;'Pollas Fase de Grupos'!CM15,'Pollas Fase de Grupos'!$CL$2,IF('Pollas Fase de Grupos'!CM15&gt;'Pollas Fase de Grupos'!CL15,'Pollas Fase de Grupos'!$CM$2,"EMPATE"))</f>
        <v>EMPATE</v>
      </c>
      <c r="CK15" s="85">
        <f>PUNTAJE_GANADORES('Pollas Fase de Grupos'!CL15,'Resultados Oficiales Fase de Gr'!$D$60,'Pollas Fase de Grupos'!CM15,'Resultados Oficiales Fase de Gr'!$E$60,CJ15,'Resultados Oficiales Fase de Gr'!$G$60)</f>
        <v>1</v>
      </c>
      <c r="CL15" s="85" t="str">
        <f>IF('Pollas Fase de Grupos'!CN15&gt;'Pollas Fase de Grupos'!CO15,'Pollas Fase de Grupos'!$CN$2,IF('Pollas Fase de Grupos'!CO15&gt;'Pollas Fase de Grupos'!CN15,'Pollas Fase de Grupos'!$CO$2,"EMPATE"))</f>
        <v>Uruguay</v>
      </c>
      <c r="CM15" s="85">
        <f>PUNTAJE_GANADORES('Pollas Fase de Grupos'!CN15,'Resultados Oficiales Fase de Gr'!$D$61,'Pollas Fase de Grupos'!CO15,'Resultados Oficiales Fase de Gr'!$E$61,CL15,'Resultados Oficiales Fase de Gr'!$G$61)</f>
        <v>0</v>
      </c>
      <c r="CN15" s="85" t="str">
        <f>IF('Pollas Fase de Grupos'!CP15&gt;'Pollas Fase de Grupos'!CQ15,'Pollas Fase de Grupos'!$CP$2,IF('Pollas Fase de Grupos'!CQ15&gt;'Pollas Fase de Grupos'!CP15,'Pollas Fase de Grupos'!$CQ$2,"EMPATE"))</f>
        <v>Corea del Sur</v>
      </c>
      <c r="CO15" s="85">
        <f>PUNTAJE_GANADORES('Pollas Fase de Grupos'!CP15,'Resultados Oficiales Fase de Gr'!$D$62,'Pollas Fase de Grupos'!CQ15,'Resultados Oficiales Fase de Gr'!$E$62,CN15,'Resultados Oficiales Fase de Gr'!$G$62)</f>
        <v>1</v>
      </c>
      <c r="CP15" s="85" t="str">
        <f>IF('Pollas Fase de Grupos'!CR15&gt;'Pollas Fase de Grupos'!CS15,'Pollas Fase de Grupos'!$CR$2,IF('Pollas Fase de Grupos'!CS15&gt;'Pollas Fase de Grupos'!CR15,'Pollas Fase de Grupos'!$CS$2,"EMPATE"))</f>
        <v>EMPATE</v>
      </c>
      <c r="CQ15" s="85">
        <f>PUNTAJE_GANADORES('Pollas Fase de Grupos'!CR15,'Resultados Oficiales Fase de Gr'!$D$63,'Pollas Fase de Grupos'!CS15,'Resultados Oficiales Fase de Gr'!$E$63,CP15,'Resultados Oficiales Fase de Gr'!$G$63)</f>
        <v>1</v>
      </c>
      <c r="CR15" s="85" t="str">
        <f>IF('Pollas Fase de Grupos'!CT15&gt;'Pollas Fase de Grupos'!CU15,'Pollas Fase de Grupos'!$CT$2,IF('Pollas Fase de Grupos'!CU15&gt;'Pollas Fase de Grupos'!CT15,'Pollas Fase de Grupos'!$CU$2,"EMPATE"))</f>
        <v>Uruguay</v>
      </c>
      <c r="CS15" s="85">
        <f>PUNTAJE_GANADORES('Pollas Fase de Grupos'!CT15,'Resultados Oficiales Fase de Gr'!$D$64,'Pollas Fase de Grupos'!CU15,'Resultados Oficiales Fase de Gr'!$E$64,CR15,'Resultados Oficiales Fase de Gr'!$G$64)</f>
        <v>3</v>
      </c>
      <c r="CT15" s="4">
        <f t="shared" si="1"/>
        <v>63</v>
      </c>
      <c r="CU15" s="17">
        <f>39</f>
        <v>39</v>
      </c>
      <c r="CV15" s="3">
        <f t="shared" si="2"/>
        <v>66</v>
      </c>
    </row>
    <row r="16">
      <c r="A16" s="3" t="str">
        <f>'Pollas Fase de Grupos'!CV16</f>
        <v>Marta Restrepo</v>
      </c>
      <c r="B16" s="4" t="str">
        <f>IF('Pollas Fase de Grupos'!D16&gt;'Pollas Fase de Grupos'!E16,'Pollas Fase de Grupos'!$D$2,IF('Pollas Fase de Grupos'!E16&gt;'Pollas Fase de Grupos'!D16,'Pollas Fase de Grupos'!$E$2,"EMPATE"))</f>
        <v>Ecuador</v>
      </c>
      <c r="C16" s="4">
        <f>PUNTAJE_GANADORES('Pollas Fase de Grupos'!D16,'Resultados Oficiales Fase de Gr'!$D$3,'Pollas Fase de Grupos'!E16,'Resultados Oficiales Fase de Gr'!$E$3,B16,'Resultados Oficiales Fase de Gr'!$G$3)</f>
        <v>5</v>
      </c>
      <c r="D16" s="85" t="str">
        <f>IF('Pollas Fase de Grupos'!F16&gt;'Pollas Fase de Grupos'!G16,'Pollas Fase de Grupos'!$F$2,IF('Pollas Fase de Grupos'!G16&gt;'Pollas Fase de Grupos'!F16,'Pollas Fase de Grupos'!$G$2,"EMPATE"))</f>
        <v>Paises Bajos</v>
      </c>
      <c r="E16" s="4">
        <f>PUNTAJE_GANADORES('Pollas Fase de Grupos'!F16,'Resultados Oficiales Fase de Gr'!$D$4,'Pollas Fase de Grupos'!G16,'Resultados Oficiales Fase de Gr'!$E$4,D16,'Resultados Oficiales Fase de Gr'!$G$4)</f>
        <v>3</v>
      </c>
      <c r="F16" s="85" t="str">
        <f>IF('Pollas Fase de Grupos'!H16&gt;'Pollas Fase de Grupos'!I16,'Pollas Fase de Grupos'!$H$2,IF('Pollas Fase de Grupos'!I16&gt;'Pollas Fase de Grupos'!H16,'Pollas Fase de Grupos'!$I$2,"EMPATE"))</f>
        <v>Senegal</v>
      </c>
      <c r="G16" s="4">
        <f>PUNTAJE_GANADORES('Pollas Fase de Grupos'!H16,'Resultados Oficiales Fase de Gr'!$D$5,'Pollas Fase de Grupos'!I16,'Resultados Oficiales Fase de Gr'!$E$5,F16,'Resultados Oficiales Fase de Gr'!$G$5)</f>
        <v>3</v>
      </c>
      <c r="H16" s="85" t="str">
        <f>IF('Pollas Fase de Grupos'!J16&gt;'Pollas Fase de Grupos'!K16,'Pollas Fase de Grupos'!$J$2,IF('Pollas Fase de Grupos'!K16&gt;'Pollas Fase de Grupos'!J16,'Pollas Fase de Grupos'!$K$2,"EMPATE"))</f>
        <v>EMPATE</v>
      </c>
      <c r="I16" s="4">
        <f>PUNTAJE_GANADORES('Pollas Fase de Grupos'!J16,'Resultados Oficiales Fase de Gr'!$D$6,'Pollas Fase de Grupos'!K16,'Resultados Oficiales Fase de Gr'!$E$6,H16,'Resultados Oficiales Fase de Gr'!$G$6)</f>
        <v>5</v>
      </c>
      <c r="J16" s="85" t="str">
        <f>IF('Pollas Fase de Grupos'!L16&gt;'Pollas Fase de Grupos'!M16,'Pollas Fase de Grupos'!$L$2,IF('Pollas Fase de Grupos'!M16&gt;'Pollas Fase de Grupos'!L16,'Pollas Fase de Grupos'!$M$2,"EMPATE"))</f>
        <v>Paises Bajos</v>
      </c>
      <c r="K16" s="4">
        <f>PUNTAJE_GANADORES('Pollas Fase de Grupos'!L16,'Resultados Oficiales Fase de Gr'!$D$7,'Pollas Fase de Grupos'!M16,'Resultados Oficiales Fase de Gr'!$E$7,J16,'Resultados Oficiales Fase de Gr'!$G$7)</f>
        <v>3</v>
      </c>
      <c r="L16" s="85" t="str">
        <f>IF('Pollas Fase de Grupos'!N16&gt;'Pollas Fase de Grupos'!O16,'Pollas Fase de Grupos'!$N$2,IF('Pollas Fase de Grupos'!O16&gt;'Pollas Fase de Grupos'!N16,'Pollas Fase de Grupos'!$O$2,"EMPATE"))</f>
        <v>EMPATE</v>
      </c>
      <c r="M16" s="85">
        <f>PUNTAJE_GANADORES('Pollas Fase de Grupos'!N16,'Resultados Oficiales Fase de Gr'!$D$8,'Pollas Fase de Grupos'!O16,'Resultados Oficiales Fase de Gr'!$E$8,L16,'Resultados Oficiales Fase de Gr'!$G$8)</f>
        <v>1</v>
      </c>
      <c r="N16" s="85" t="str">
        <f>IF('Pollas Fase de Grupos'!P16&gt;'Pollas Fase de Grupos'!Q16,'Pollas Fase de Grupos'!$P$2,IF('Pollas Fase de Grupos'!Q16&gt;'Pollas Fase de Grupos'!P16,'Pollas Fase de Grupos'!$Q$2,"EMPATE"))</f>
        <v>EMPATE</v>
      </c>
      <c r="O16" s="85">
        <f>PUNTAJE_GANADORES('Pollas Fase de Grupos'!P16,'Resultados Oficiales Fase de Gr'!$D$11,'Pollas Fase de Grupos'!Q16,'Resultados Oficiales Fase de Gr'!$E$11,N16,'Resultados Oficiales Fase de Gr'!$G$11)</f>
        <v>0</v>
      </c>
      <c r="P16" s="4" t="str">
        <f>IF('Pollas Fase de Grupos'!R16&gt;'Pollas Fase de Grupos'!S16,'Pollas Fase de Grupos'!$R$2,IF('Pollas Fase de Grupos'!S16&gt;'Pollas Fase de Grupos'!R16,'Pollas Fase de Grupos'!$S$2,"EMPATE"))</f>
        <v>Estados Unidos</v>
      </c>
      <c r="Q16" s="85">
        <f>PUNTAJE_GANADORES('Pollas Fase de Grupos'!R16,'Resultados Oficiales Fase de Gr'!$D$12,'Pollas Fase de Grupos'!S16,'Resultados Oficiales Fase de Gr'!$E$12,P16,'Resultados Oficiales Fase de Gr'!$G$12)</f>
        <v>1</v>
      </c>
      <c r="R16" s="85" t="str">
        <f>IF('Pollas Fase de Grupos'!T16&gt;'Pollas Fase de Grupos'!U16,'Pollas Fase de Grupos'!$T$2,IF('Pollas Fase de Grupos'!U16&gt;'Pollas Fase de Grupos'!T16,'Pollas Fase de Grupos'!$U$2,"EMPATE"))</f>
        <v>Inglaterra</v>
      </c>
      <c r="S16" s="4">
        <f>PUNTAJE_GANADORES('Pollas Fase de Grupos'!T16,'Resultados Oficiales Fase de Gr'!$D$13,'Pollas Fase de Grupos'!U16,'Resultados Oficiales Fase de Gr'!$E$13,R16,'Resultados Oficiales Fase de Gr'!$G$13)</f>
        <v>1</v>
      </c>
      <c r="T16" s="85" t="str">
        <f>IF('Pollas Fase de Grupos'!V16&gt;'Pollas Fase de Grupos'!W16,'Pollas Fase de Grupos'!$V$2,IF('Pollas Fase de Grupos'!W16&gt;'Pollas Fase de Grupos'!V16,'Pollas Fase de Grupos'!$W$2,"EMPATE"))</f>
        <v>Iran</v>
      </c>
      <c r="U16" s="86">
        <f>PUNTAJE_GANADORES('Pollas Fase de Grupos'!V16,'Resultados Oficiales Fase de Gr'!$D$14,'Pollas Fase de Grupos'!W16,'Resultados Oficiales Fase de Gr'!$E$14,T16,'Resultados Oficiales Fase de Gr'!$G$14)</f>
        <v>3</v>
      </c>
      <c r="V16" s="85" t="str">
        <f>IF('Pollas Fase de Grupos'!X16&gt;'Pollas Fase de Grupos'!Y16,'Pollas Fase de Grupos'!$X$2,IF('Pollas Fase de Grupos'!Y16&gt;'Pollas Fase de Grupos'!X16,'Pollas Fase de Grupos'!$Y$2,"EMPATE"))</f>
        <v>Inglaterra</v>
      </c>
      <c r="W16" s="85">
        <f>PUNTAJE_GANADORES('Pollas Fase de Grupos'!X16,'Resultados Oficiales Fase de Gr'!$D$15,'Pollas Fase de Grupos'!Y16,'Resultados Oficiales Fase de Gr'!$E$15,V16,'Resultados Oficiales Fase de Gr'!$G$15)</f>
        <v>2</v>
      </c>
      <c r="X16" s="85" t="str">
        <f>IF('Pollas Fase de Grupos'!Z16&gt;'Pollas Fase de Grupos'!AA16,'Pollas Fase de Grupos'!$Z$2,IF('Pollas Fase de Grupos'!AA16&gt;'Pollas Fase de Grupos'!Z16,'Pollas Fase de Grupos'!$AA$2,"EMPATE"))</f>
        <v>EMPATE</v>
      </c>
      <c r="Y16" s="87">
        <f>PUNTAJE_GANADORES('Pollas Fase de Grupos'!Z16,'Resultados Oficiales Fase de Gr'!$D$16,'Pollas Fase de Grupos'!AA16,'Resultados Oficiales Fase de Gr'!$E$16,X16,'Resultados Oficiales Fase de Gr'!$G$16)</f>
        <v>1</v>
      </c>
      <c r="Z16" s="85" t="str">
        <f>IF('Pollas Fase de Grupos'!AB16&gt;'Pollas Fase de Grupos'!AC16,'Pollas Fase de Grupos'!$AB$2,IF('Pollas Fase de Grupos'!AC16&gt;'Pollas Fase de Grupos'!AB16,'Pollas Fase de Grupos'!$AC$2,"EMPATE"))</f>
        <v>Argentina</v>
      </c>
      <c r="AA16" s="85">
        <f>PUNTAJE_GANADORES('Pollas Fase de Grupos'!AB16,'Resultados Oficiales Fase de Gr'!$D$19,'Pollas Fase de Grupos'!AC16,'Resultados Oficiales Fase de Gr'!$E$19,Z16,'Resultados Oficiales Fase de Gr'!$G$19)</f>
        <v>0</v>
      </c>
      <c r="AB16" s="85" t="str">
        <f>IF('Pollas Fase de Grupos'!AD16&gt;'Pollas Fase de Grupos'!AE16,'Pollas Fase de Grupos'!$AD$2,IF('Pollas Fase de Grupos'!AE16&gt;'Pollas Fase de Grupos'!AD16,'Pollas Fase de Grupos'!$AE$2,"EMPATE"))</f>
        <v>Polonia</v>
      </c>
      <c r="AC16" s="85">
        <f>PUNTAJE_GANADORES('Pollas Fase de Grupos'!AD16,'Resultados Oficiales Fase de Gr'!$D$20,'Pollas Fase de Grupos'!AE16,'Resultados Oficiales Fase de Gr'!$E$20,AB16,'Resultados Oficiales Fase de Gr'!$G$20)</f>
        <v>0</v>
      </c>
      <c r="AD16" s="85" t="str">
        <f>IF('Pollas Fase de Grupos'!AF16&gt;'Pollas Fase de Grupos'!AG16,'Pollas Fase de Grupos'!$AF$2,IF('Pollas Fase de Grupos'!AG16&gt;'Pollas Fase de Grupos'!AF16,'Pollas Fase de Grupos'!$AG$2,"EMPATE"))</f>
        <v>Argentina</v>
      </c>
      <c r="AE16" s="85">
        <f>PUNTAJE_GANADORES('Pollas Fase de Grupos'!AF16,'Resultados Oficiales Fase de Gr'!$D$21,'Pollas Fase de Grupos'!AG16,'Resultados Oficiales Fase de Gr'!$E$21,AD16,'Resultados Oficiales Fase de Gr'!$G$21)</f>
        <v>5</v>
      </c>
      <c r="AF16" s="85" t="str">
        <f>IF('Pollas Fase de Grupos'!AH16&gt;'Pollas Fase de Grupos'!AI16,'Pollas Fase de Grupos'!$AH$2,IF('Pollas Fase de Grupos'!AI16&gt;'Pollas Fase de Grupos'!AH16,'Pollas Fase de Grupos'!$AI$2,"EMPATE"))</f>
        <v>Polonia</v>
      </c>
      <c r="AG16" s="85">
        <f>PUNTAJE_GANADORES('Pollas Fase de Grupos'!AH16,'Resultados Oficiales Fase de Gr'!$D$22,'Pollas Fase de Grupos'!AI16,'Resultados Oficiales Fase de Gr'!$E$22,AF16,'Resultados Oficiales Fase de Gr'!$G$22)</f>
        <v>5</v>
      </c>
      <c r="AH16" s="85" t="str">
        <f>IF('Pollas Fase de Grupos'!AJ16&gt;'Pollas Fase de Grupos'!AK16,'Pollas Fase de Grupos'!$AJ$2,IF('Pollas Fase de Grupos'!AK16&gt;'Pollas Fase de Grupos'!AJ16,'Pollas Fase de Grupos'!$AK$2,"EMPATE"))</f>
        <v>Argentina</v>
      </c>
      <c r="AI16" s="85">
        <f>PUNTAJE_GANADORES('Pollas Fase de Grupos'!AJ16,'Resultados Oficiales Fase de Gr'!$D$23,'Pollas Fase de Grupos'!AK16,'Resultados Oficiales Fase de Gr'!$E$23,AH16,'Resultados Oficiales Fase de Gr'!$G$23)</f>
        <v>3</v>
      </c>
      <c r="AJ16" s="85" t="str">
        <f>IF('Pollas Fase de Grupos'!AL16&gt;'Pollas Fase de Grupos'!AM16,'Pollas Fase de Grupos'!$AL$2,IF('Pollas Fase de Grupos'!AM16&gt;'Pollas Fase de Grupos'!AL16,'Pollas Fase de Grupos'!$AM$2,"EMPATE"))</f>
        <v>Mexico</v>
      </c>
      <c r="AK16" s="85">
        <f>PUNTAJE_GANADORES('Pollas Fase de Grupos'!AL16,'Resultados Oficiales Fase de Gr'!$D$24,'Pollas Fase de Grupos'!AM16,'Resultados Oficiales Fase de Gr'!$E$24,AJ16,'Resultados Oficiales Fase de Gr'!$G$24)</f>
        <v>3</v>
      </c>
      <c r="AL16" s="85" t="str">
        <f>IF('Pollas Fase de Grupos'!AN16&gt;'Pollas Fase de Grupos'!AO16,'Pollas Fase de Grupos'!$AN$2,IF('Pollas Fase de Grupos'!AO16&gt;'Pollas Fase de Grupos'!AN16,'Pollas Fase de Grupos'!$AO$2,"EMPATE"))</f>
        <v>Francia</v>
      </c>
      <c r="AM16" s="85">
        <f>PUNTAJE_GANADORES('Pollas Fase de Grupos'!AN16,'Resultados Oficiales Fase de Gr'!$D$27,'Pollas Fase de Grupos'!AO16,'Resultados Oficiales Fase de Gr'!$E$27,AL16,'Resultados Oficiales Fase de Gr'!$G$27)</f>
        <v>2</v>
      </c>
      <c r="AN16" s="85" t="str">
        <f>IF('Pollas Fase de Grupos'!AP16&gt;'Pollas Fase de Grupos'!AQ16,'Pollas Fase de Grupos'!$AP$2,IF('Pollas Fase de Grupos'!AQ16&gt;'Pollas Fase de Grupos'!AP16,'Pollas Fase de Grupos'!$AQ$2,"EMPATE"))</f>
        <v>Dinamarca</v>
      </c>
      <c r="AO16" s="85">
        <f>PUNTAJE_GANADORES('Pollas Fase de Grupos'!AP16,'Resultados Oficiales Fase de Gr'!$D$28,'Pollas Fase de Grupos'!AQ16,'Resultados Oficiales Fase de Gr'!$E$28,AN16,'Resultados Oficiales Fase de Gr'!$G$28)</f>
        <v>1</v>
      </c>
      <c r="AP16" s="85" t="str">
        <f>IF('Pollas Fase de Grupos'!AR16&gt;'Pollas Fase de Grupos'!AS16,'Pollas Fase de Grupos'!$AR$2,IF('Pollas Fase de Grupos'!AS16&gt;'Pollas Fase de Grupos'!AR16,'Pollas Fase de Grupos'!$AS$2,"EMPATE"))</f>
        <v>Dinamarca</v>
      </c>
      <c r="AQ16" s="85">
        <f>PUNTAJE_GANADORES('Pollas Fase de Grupos'!AR16,'Resultados Oficiales Fase de Gr'!$D$29,'Pollas Fase de Grupos'!AS16,'Resultados Oficiales Fase de Gr'!$E$29,AP16,'Resultados Oficiales Fase de Gr'!$G$29)</f>
        <v>0</v>
      </c>
      <c r="AR16" s="85" t="str">
        <f>IF('Pollas Fase de Grupos'!AT16&gt;'Pollas Fase de Grupos'!AU16,'Pollas Fase de Grupos'!$AT$2,IF('Pollas Fase de Grupos'!AU16&gt;'Pollas Fase de Grupos'!AT16,'Pollas Fase de Grupos'!$AU$2,"EMPATE"))</f>
        <v>EMPATE</v>
      </c>
      <c r="AS16" s="85">
        <f>PUNTAJE_GANADORES('Pollas Fase de Grupos'!AT16,'Resultados Oficiales Fase de Gr'!$D$30,'Pollas Fase de Grupos'!AU16,'Resultados Oficiales Fase de Gr'!$E$30,AR16,'Resultados Oficiales Fase de Gr'!$G$30)</f>
        <v>1</v>
      </c>
      <c r="AT16" s="85" t="str">
        <f>IF('Pollas Fase de Grupos'!AV16&gt;'Pollas Fase de Grupos'!AW16,'Pollas Fase de Grupos'!$AV$2,IF('Pollas Fase de Grupos'!AW16&gt;'Pollas Fase de Grupos'!AV16,'Pollas Fase de Grupos'!$AW$2,"EMPATE"))</f>
        <v>Francia</v>
      </c>
      <c r="AU16" s="85">
        <f>PUNTAJE_GANADORES('Pollas Fase de Grupos'!AV16,'Resultados Oficiales Fase de Gr'!$D$31,'Pollas Fase de Grupos'!AW16,'Resultados Oficiales Fase de Gr'!$E$31,AT16,'Resultados Oficiales Fase de Gr'!$G$31)</f>
        <v>0</v>
      </c>
      <c r="AV16" s="85" t="str">
        <f>IF('Pollas Fase de Grupos'!AX16&gt;'Pollas Fase de Grupos'!AY16,'Pollas Fase de Grupos'!$AX$2,IF('Pollas Fase de Grupos'!AY16&gt;'Pollas Fase de Grupos'!AX16,'Pollas Fase de Grupos'!$AY$2,"EMPATE"))</f>
        <v>Dinamarca</v>
      </c>
      <c r="AW16" s="85">
        <f>PUNTAJE_GANADORES('Pollas Fase de Grupos'!AX16,'Resultados Oficiales Fase de Gr'!$D$32,'Pollas Fase de Grupos'!AY16,'Resultados Oficiales Fase de Gr'!$E$32,AV16,'Resultados Oficiales Fase de Gr'!$G$32)</f>
        <v>0</v>
      </c>
      <c r="AX16" s="85" t="str">
        <f>IF('Pollas Fase de Grupos'!AZ16&gt;'Pollas Fase de Grupos'!BA16,'Pollas Fase de Grupos'!$AZ$2,IF('Pollas Fase de Grupos'!BA16&gt;'Pollas Fase de Grupos'!AZ16,'Pollas Fase de Grupos'!$BA$2,"EMPATE"))</f>
        <v>España</v>
      </c>
      <c r="AY16" s="85">
        <f>PUNTAJE_GANADORES('Pollas Fase de Grupos'!AZ16,'Resultados Oficiales Fase de Gr'!$D$35,'Pollas Fase de Grupos'!BA16,'Resultados Oficiales Fase de Gr'!$E$35,AX16,'Resultados Oficiales Fase de Gr'!$G$35)</f>
        <v>1</v>
      </c>
      <c r="AZ16" s="85" t="str">
        <f>IF('Pollas Fase de Grupos'!BB16&gt;'Pollas Fase de Grupos'!BC16,'Pollas Fase de Grupos'!$BB$2,IF('Pollas Fase de Grupos'!BC16&gt;'Pollas Fase de Grupos'!BB16,'Pollas Fase de Grupos'!$BC$2,"EMPATE"))</f>
        <v>Alemania</v>
      </c>
      <c r="BA16" s="85">
        <f>PUNTAJE_GANADORES('Pollas Fase de Grupos'!BB16,'Resultados Oficiales Fase de Gr'!$D$36,'Pollas Fase de Grupos'!BC16,'Resultados Oficiales Fase de Gr'!$E$36,AZ16,'Resultados Oficiales Fase de Gr'!$G$36)</f>
        <v>0</v>
      </c>
      <c r="BB16" s="85" t="str">
        <f>IF('Pollas Fase de Grupos'!BD16&gt;'Pollas Fase de Grupos'!BE16,'Pollas Fase de Grupos'!$BD$2,IF('Pollas Fase de Grupos'!BE16&gt;'Pollas Fase de Grupos'!BD16,'Pollas Fase de Grupos'!$BE$2,"EMPATE"))</f>
        <v>Alemania</v>
      </c>
      <c r="BC16" s="85">
        <f>PUNTAJE_GANADORES('Pollas Fase de Grupos'!BD16,'Resultados Oficiales Fase de Gr'!$D$37,'Pollas Fase de Grupos'!BE16,'Resultados Oficiales Fase de Gr'!$E$37,BB16,'Resultados Oficiales Fase de Gr'!$G$37)</f>
        <v>0</v>
      </c>
      <c r="BD16" s="85" t="str">
        <f>IF('Pollas Fase de Grupos'!BF16&gt;'Pollas Fase de Grupos'!BG16,'Pollas Fase de Grupos'!$BF$2,IF('Pollas Fase de Grupos'!BG16&gt;'Pollas Fase de Grupos'!BF16,'Pollas Fase de Grupos'!$BG$2,"EMPATE"))</f>
        <v>Japon</v>
      </c>
      <c r="BE16" s="85">
        <f>PUNTAJE_GANADORES('Pollas Fase de Grupos'!BF16,'Resultados Oficiales Fase de Gr'!$D$38,'Pollas Fase de Grupos'!BG16,'Resultados Oficiales Fase de Gr'!$E$38,BD16,'Resultados Oficiales Fase de Gr'!$G$38)</f>
        <v>0</v>
      </c>
      <c r="BF16" s="85" t="str">
        <f>IF('Pollas Fase de Grupos'!BH16&gt;'Pollas Fase de Grupos'!BI16,'Pollas Fase de Grupos'!$BH$2,IF('Pollas Fase de Grupos'!BI16&gt;'Pollas Fase de Grupos'!BH16,'Pollas Fase de Grupos'!$BI$2,"EMPATE"))</f>
        <v>España</v>
      </c>
      <c r="BG16" s="85">
        <f>PUNTAJE_GANADORES('Pollas Fase de Grupos'!BH16,'Resultados Oficiales Fase de Gr'!$D$39,'Pollas Fase de Grupos'!BI16,'Resultados Oficiales Fase de Gr'!$E$39,BF16,'Resultados Oficiales Fase de Gr'!$G$39)</f>
        <v>0</v>
      </c>
      <c r="BH16" s="85" t="str">
        <f>IF('Pollas Fase de Grupos'!BJ16&gt;'Pollas Fase de Grupos'!BK16,'Pollas Fase de Grupos'!$BJ$2,IF('Pollas Fase de Grupos'!BK16&gt;'Pollas Fase de Grupos'!BJ16,'Pollas Fase de Grupos'!$BK$2,"EMPATE"))</f>
        <v>Alemania</v>
      </c>
      <c r="BI16" s="85">
        <f>PUNTAJE_GANADORES('Pollas Fase de Grupos'!BJ16,'Resultados Oficiales Fase de Gr'!$D$40,'Pollas Fase de Grupos'!BK16,'Resultados Oficiales Fase de Gr'!$E$40,BH16,'Resultados Oficiales Fase de Gr'!$G$40)</f>
        <v>2</v>
      </c>
      <c r="BJ16" s="85" t="str">
        <f>IF('Pollas Fase de Grupos'!BL16&gt;'Pollas Fase de Grupos'!BM16,'Pollas Fase de Grupos'!$BL$2,IF('Pollas Fase de Grupos'!BM16&gt;'Pollas Fase de Grupos'!BL16,'Pollas Fase de Grupos'!$BM$2,"EMPATE"))</f>
        <v>EMPATE</v>
      </c>
      <c r="BK16" s="85">
        <f>PUNTAJE_GANADORES('Pollas Fase de Grupos'!BL16,'Resultados Oficiales Fase de Gr'!$D$43,'Pollas Fase de Grupos'!BM16,'Resultados Oficiales Fase de Gr'!$E$43,BJ16,'Resultados Oficiales Fase de Gr'!$G$43)</f>
        <v>1</v>
      </c>
      <c r="BL16" s="85" t="str">
        <f>IF('Pollas Fase de Grupos'!BN16&gt;'Pollas Fase de Grupos'!BO16,'Pollas Fase de Grupos'!$BN$2,IF('Pollas Fase de Grupos'!BO16&gt;'Pollas Fase de Grupos'!BN16,'Pollas Fase de Grupos'!$BO$2,"EMPATE"))</f>
        <v>Marruecos</v>
      </c>
      <c r="BM16" s="85">
        <f>PUNTAJE_GANADORES('Pollas Fase de Grupos'!BN16,'Resultados Oficiales Fase de Gr'!$D$44,'Pollas Fase de Grupos'!BO16,'Resultados Oficiales Fase de Gr'!$E$44,BL16,'Resultados Oficiales Fase de Gr'!$G$44)</f>
        <v>1</v>
      </c>
      <c r="BN16" s="85" t="str">
        <f>IF('Pollas Fase de Grupos'!BP16&gt;'Pollas Fase de Grupos'!BQ16,'Pollas Fase de Grupos'!$BP$2,IF('Pollas Fase de Grupos'!BQ16&gt;'Pollas Fase de Grupos'!BP16,'Pollas Fase de Grupos'!$BQ$2,"EMPATE"))</f>
        <v>Belgica</v>
      </c>
      <c r="BO16" s="85">
        <f>PUNTAJE_GANADORES('Pollas Fase de Grupos'!BP16,'Resultados Oficiales Fase de Gr'!$D$45,'Pollas Fase de Grupos'!BQ16,'Resultados Oficiales Fase de Gr'!$E$45,BN16,'Resultados Oficiales Fase de Gr'!$G$45)</f>
        <v>0</v>
      </c>
      <c r="BP16" s="85" t="str">
        <f>IF('Pollas Fase de Grupos'!BR16&gt;'Pollas Fase de Grupos'!BS16,'Pollas Fase de Grupos'!$BR$2,IF('Pollas Fase de Grupos'!BS16&gt;'Pollas Fase de Grupos'!BR16,'Pollas Fase de Grupos'!$BS$2,"EMPATE"))</f>
        <v>Croacia</v>
      </c>
      <c r="BQ16" s="85">
        <f>PUNTAJE_GANADORES('Pollas Fase de Grupos'!BR16,'Resultados Oficiales Fase de Gr'!$D$46,'Pollas Fase de Grupos'!BS16,'Resultados Oficiales Fase de Gr'!$E$46,BP16,'Resultados Oficiales Fase de Gr'!$G$46)</f>
        <v>2</v>
      </c>
      <c r="BR16" s="85" t="str">
        <f>IF('Pollas Fase de Grupos'!BT16&gt;'Pollas Fase de Grupos'!BU16,'Pollas Fase de Grupos'!$BT$2,IF('Pollas Fase de Grupos'!BU16&gt;'Pollas Fase de Grupos'!BT16,'Pollas Fase de Grupos'!$BU$2,"EMPATE"))</f>
        <v>EMPATE</v>
      </c>
      <c r="BS16" s="85">
        <f>PUNTAJE_GANADORES('Pollas Fase de Grupos'!BT16,'Resultados Oficiales Fase de Gr'!$D$47,'Pollas Fase de Grupos'!BU16,'Resultados Oficiales Fase de Gr'!$E$47,BR16,'Resultados Oficiales Fase de Gr'!$G$47)</f>
        <v>1</v>
      </c>
      <c r="BT16" s="85" t="str">
        <f>IF('Pollas Fase de Grupos'!BV16&gt;'Pollas Fase de Grupos'!BW16,'Pollas Fase de Grupos'!$BV$2,IF('Pollas Fase de Grupos'!BW16&gt;'Pollas Fase de Grupos'!BV16,'Pollas Fase de Grupos'!$BW$2,"EMPATE"))</f>
        <v>Marruecos</v>
      </c>
      <c r="BU16" s="85">
        <f>PUNTAJE_GANADORES('Pollas Fase de Grupos'!BV16,'Resultados Oficiales Fase de Gr'!$D$48,'Pollas Fase de Grupos'!BW16,'Resultados Oficiales Fase de Gr'!$E$48,BT16,'Resultados Oficiales Fase de Gr'!$G$48)</f>
        <v>2</v>
      </c>
      <c r="BV16" s="85" t="str">
        <f>IF('Pollas Fase de Grupos'!BX16&gt;'Pollas Fase de Grupos'!BY16,'Pollas Fase de Grupos'!$BX$2,IF('Pollas Fase de Grupos'!BY16&gt;'Pollas Fase de Grupos'!BX16,'Pollas Fase de Grupos'!$BY$2,"EMPATE"))</f>
        <v>Brasil</v>
      </c>
      <c r="BW16" s="85">
        <f>PUNTAJE_GANADORES('Pollas Fase de Grupos'!BX16,'Resultados Oficiales Fase de Gr'!$D$51,'Pollas Fase de Grupos'!BY16,'Resultados Oficiales Fase de Gr'!$E$51,BV16,'Resultados Oficiales Fase de Gr'!$G$51)</f>
        <v>3</v>
      </c>
      <c r="BX16" s="85" t="str">
        <f>IF('Pollas Fase de Grupos'!BZ16&gt;'Pollas Fase de Grupos'!CA16,'Pollas Fase de Grupos'!$BZ$2,IF('Pollas Fase de Grupos'!CA16&gt;'Pollas Fase de Grupos'!BZ16,'Pollas Fase de Grupos'!$CA$2,"EMPATE"))</f>
        <v>Camerun</v>
      </c>
      <c r="BY16" s="85">
        <f>PUNTAJE_GANADORES('Pollas Fase de Grupos'!BZ16,'Resultados Oficiales Fase de Gr'!$D$52,'Pollas Fase de Grupos'!CA16,'Resultados Oficiales Fase de Gr'!$E$52,BX16,'Resultados Oficiales Fase de Gr'!$G$52)</f>
        <v>0</v>
      </c>
      <c r="BZ16" s="85" t="str">
        <f>IF('Pollas Fase de Grupos'!CB16&gt;'Pollas Fase de Grupos'!CC16,'Pollas Fase de Grupos'!$CB$2,IF('Pollas Fase de Grupos'!CC16&gt;'Pollas Fase de Grupos'!CB16,'Pollas Fase de Grupos'!$CC$2,"EMPATE"))</f>
        <v>Brasil</v>
      </c>
      <c r="CA16" s="85">
        <f>PUNTAJE_GANADORES('Pollas Fase de Grupos'!CB16,'Resultados Oficiales Fase de Gr'!$D$53,'Pollas Fase de Grupos'!CC16,'Resultados Oficiales Fase de Gr'!$E$53,BZ16,'Resultados Oficiales Fase de Gr'!$G$53)</f>
        <v>2</v>
      </c>
      <c r="CB16" s="85" t="str">
        <f>IF('Pollas Fase de Grupos'!CD16&gt;'Pollas Fase de Grupos'!CE16,'Pollas Fase de Grupos'!$CD$2,IF('Pollas Fase de Grupos'!CE16&gt;'Pollas Fase de Grupos'!CD16,'Pollas Fase de Grupos'!$CE$2,"EMPATE"))</f>
        <v>EMPATE</v>
      </c>
      <c r="CC16" s="85">
        <f>PUNTAJE_GANADORES('Pollas Fase de Grupos'!CD16,'Resultados Oficiales Fase de Gr'!$D$54,'Pollas Fase de Grupos'!CE16,'Resultados Oficiales Fase de Gr'!$E$54,CB16,'Resultados Oficiales Fase de Gr'!$G$54)</f>
        <v>1</v>
      </c>
      <c r="CD16" s="85" t="str">
        <f>IF('Pollas Fase de Grupos'!CF16&gt;'Pollas Fase de Grupos'!CG16,'Pollas Fase de Grupos'!$CF$2,IF('Pollas Fase de Grupos'!CG16&gt;'Pollas Fase de Grupos'!CF16,'Pollas Fase de Grupos'!$CG$2,"EMPATE"))</f>
        <v>Brasil</v>
      </c>
      <c r="CE16" s="85">
        <f>PUNTAJE_GANADORES('Pollas Fase de Grupos'!CF16,'Resultados Oficiales Fase de Gr'!$D$55,'Pollas Fase de Grupos'!CG16,'Resultados Oficiales Fase de Gr'!$E$55,CD16,'Resultados Oficiales Fase de Gr'!$G$55)</f>
        <v>0</v>
      </c>
      <c r="CF16" s="85" t="str">
        <f>IF('Pollas Fase de Grupos'!CH16&gt;'Pollas Fase de Grupos'!CI16,'Pollas Fase de Grupos'!$CH$2,IF('Pollas Fase de Grupos'!CI16&gt;'Pollas Fase de Grupos'!CH16,'Pollas Fase de Grupos'!$CI$2,"EMPATE"))</f>
        <v>Suiza</v>
      </c>
      <c r="CG16" s="85">
        <f>PUNTAJE_GANADORES('Pollas Fase de Grupos'!CH16,'Resultados Oficiales Fase de Gr'!$D$56,'Pollas Fase de Grupos'!CI16,'Resultados Oficiales Fase de Gr'!$E$56,CF16,'Resultados Oficiales Fase de Gr'!$G$56)</f>
        <v>2</v>
      </c>
      <c r="CH16" s="85" t="str">
        <f>IF('Pollas Fase de Grupos'!CJ16&gt;'Pollas Fase de Grupos'!CK16,'Pollas Fase de Grupos'!$CJ$2,IF('Pollas Fase de Grupos'!CK16&gt;'Pollas Fase de Grupos'!CJ16,'Pollas Fase de Grupos'!$CK$2,"EMPATE"))</f>
        <v>Portugal</v>
      </c>
      <c r="CI16" s="85">
        <f>PUNTAJE_GANADORES('Pollas Fase de Grupos'!CJ16,'Resultados Oficiales Fase de Gr'!$D$59,'Pollas Fase de Grupos'!CK16,'Resultados Oficiales Fase de Gr'!$E$59,CH16,'Resultados Oficiales Fase de Gr'!$G$59)</f>
        <v>2</v>
      </c>
      <c r="CJ16" s="85" t="str">
        <f>IF('Pollas Fase de Grupos'!CL16&gt;'Pollas Fase de Grupos'!CM16,'Pollas Fase de Grupos'!$CL$2,IF('Pollas Fase de Grupos'!CM16&gt;'Pollas Fase de Grupos'!CL16,'Pollas Fase de Grupos'!$CM$2,"EMPATE"))</f>
        <v>Uruguay</v>
      </c>
      <c r="CK16" s="85">
        <f>PUNTAJE_GANADORES('Pollas Fase de Grupos'!CL16,'Resultados Oficiales Fase de Gr'!$D$60,'Pollas Fase de Grupos'!CM16,'Resultados Oficiales Fase de Gr'!$E$60,CJ16,'Resultados Oficiales Fase de Gr'!$G$60)</f>
        <v>1</v>
      </c>
      <c r="CL16" s="85" t="str">
        <f>IF('Pollas Fase de Grupos'!CN16&gt;'Pollas Fase de Grupos'!CO16,'Pollas Fase de Grupos'!$CN$2,IF('Pollas Fase de Grupos'!CO16&gt;'Pollas Fase de Grupos'!CN16,'Pollas Fase de Grupos'!$CO$2,"EMPATE"))</f>
        <v>Uruguay</v>
      </c>
      <c r="CM16" s="85">
        <f>PUNTAJE_GANADORES('Pollas Fase de Grupos'!CN16,'Resultados Oficiales Fase de Gr'!$D$61,'Pollas Fase de Grupos'!CO16,'Resultados Oficiales Fase de Gr'!$E$61,CL16,'Resultados Oficiales Fase de Gr'!$G$61)</f>
        <v>0</v>
      </c>
      <c r="CN16" s="85" t="str">
        <f>IF('Pollas Fase de Grupos'!CP16&gt;'Pollas Fase de Grupos'!CQ16,'Pollas Fase de Grupos'!$CP$2,IF('Pollas Fase de Grupos'!CQ16&gt;'Pollas Fase de Grupos'!CP16,'Pollas Fase de Grupos'!$CQ$2,"EMPATE"))</f>
        <v>Corea del Sur</v>
      </c>
      <c r="CO16" s="85">
        <f>PUNTAJE_GANADORES('Pollas Fase de Grupos'!CP16,'Resultados Oficiales Fase de Gr'!$D$62,'Pollas Fase de Grupos'!CQ16,'Resultados Oficiales Fase de Gr'!$E$62,CN16,'Resultados Oficiales Fase de Gr'!$G$62)</f>
        <v>1</v>
      </c>
      <c r="CP16" s="85" t="str">
        <f>IF('Pollas Fase de Grupos'!CR16&gt;'Pollas Fase de Grupos'!CS16,'Pollas Fase de Grupos'!$CR$2,IF('Pollas Fase de Grupos'!CS16&gt;'Pollas Fase de Grupos'!CR16,'Pollas Fase de Grupos'!$CS$2,"EMPATE"))</f>
        <v>Portugal</v>
      </c>
      <c r="CQ16" s="85">
        <f>PUNTAJE_GANADORES('Pollas Fase de Grupos'!CR16,'Resultados Oficiales Fase de Gr'!$D$63,'Pollas Fase de Grupos'!CS16,'Resultados Oficiales Fase de Gr'!$E$63,CP16,'Resultados Oficiales Fase de Gr'!$G$63)</f>
        <v>0</v>
      </c>
      <c r="CR16" s="85" t="str">
        <f>IF('Pollas Fase de Grupos'!CT16&gt;'Pollas Fase de Grupos'!CU16,'Pollas Fase de Grupos'!$CT$2,IF('Pollas Fase de Grupos'!CU16&gt;'Pollas Fase de Grupos'!CT16,'Pollas Fase de Grupos'!$CU$2,"EMPATE"))</f>
        <v>Uruguay</v>
      </c>
      <c r="CS16" s="85">
        <f>PUNTAJE_GANADORES('Pollas Fase de Grupos'!CT16,'Resultados Oficiales Fase de Gr'!$D$64,'Pollas Fase de Grupos'!CU16,'Resultados Oficiales Fase de Gr'!$E$64,CR16,'Resultados Oficiales Fase de Gr'!$G$64)</f>
        <v>5</v>
      </c>
      <c r="CT16" s="4">
        <f t="shared" si="1"/>
        <v>75</v>
      </c>
      <c r="CU16" s="17">
        <v>57.0</v>
      </c>
      <c r="CV16" s="3">
        <f t="shared" si="2"/>
        <v>82</v>
      </c>
    </row>
    <row r="17">
      <c r="A17" s="3" t="str">
        <f>'Pollas Fase de Grupos'!CV17</f>
        <v>Alex Garcia</v>
      </c>
      <c r="B17" s="4" t="str">
        <f>IF('Pollas Fase de Grupos'!D17&gt;'Pollas Fase de Grupos'!E17,'Pollas Fase de Grupos'!$D$2,IF('Pollas Fase de Grupos'!E17&gt;'Pollas Fase de Grupos'!D17,'Pollas Fase de Grupos'!$E$2,"EMPATE"))</f>
        <v>EMPATE</v>
      </c>
      <c r="C17" s="4">
        <f>PUNTAJE_GANADORES('Pollas Fase de Grupos'!D17,'Resultados Oficiales Fase de Gr'!$D$3,'Pollas Fase de Grupos'!E17,'Resultados Oficiales Fase de Gr'!$E$3,B17,'Resultados Oficiales Fase de Gr'!$G$3)</f>
        <v>0</v>
      </c>
      <c r="D17" s="85" t="str">
        <f>IF('Pollas Fase de Grupos'!F17&gt;'Pollas Fase de Grupos'!G17,'Pollas Fase de Grupos'!$F$2,IF('Pollas Fase de Grupos'!G17&gt;'Pollas Fase de Grupos'!F17,'Pollas Fase de Grupos'!$G$2,"EMPATE"))</f>
        <v>Senegal</v>
      </c>
      <c r="E17" s="4">
        <f>PUNTAJE_GANADORES('Pollas Fase de Grupos'!F17,'Resultados Oficiales Fase de Gr'!$D$4,'Pollas Fase de Grupos'!G17,'Resultados Oficiales Fase de Gr'!$E$4,D17,'Resultados Oficiales Fase de Gr'!$G$4)</f>
        <v>0</v>
      </c>
      <c r="F17" s="85" t="str">
        <f>IF('Pollas Fase de Grupos'!H17&gt;'Pollas Fase de Grupos'!I17,'Pollas Fase de Grupos'!$H$2,IF('Pollas Fase de Grupos'!I17&gt;'Pollas Fase de Grupos'!H17,'Pollas Fase de Grupos'!$I$2,"EMPATE"))</f>
        <v>Senegal</v>
      </c>
      <c r="G17" s="4">
        <f>PUNTAJE_GANADORES('Pollas Fase de Grupos'!H17,'Resultados Oficiales Fase de Gr'!$D$5,'Pollas Fase de Grupos'!I17,'Resultados Oficiales Fase de Gr'!$E$5,F17,'Resultados Oficiales Fase de Gr'!$G$5)</f>
        <v>2</v>
      </c>
      <c r="H17" s="85" t="str">
        <f>IF('Pollas Fase de Grupos'!J17&gt;'Pollas Fase de Grupos'!K17,'Pollas Fase de Grupos'!$J$2,IF('Pollas Fase de Grupos'!K17&gt;'Pollas Fase de Grupos'!J17,'Pollas Fase de Grupos'!$K$2,"EMPATE"))</f>
        <v>Ecuador</v>
      </c>
      <c r="I17" s="4">
        <f>PUNTAJE_GANADORES('Pollas Fase de Grupos'!J17,'Resultados Oficiales Fase de Gr'!$D$6,'Pollas Fase de Grupos'!K17,'Resultados Oficiales Fase de Gr'!$E$6,H17,'Resultados Oficiales Fase de Gr'!$G$6)</f>
        <v>1</v>
      </c>
      <c r="J17" s="85" t="str">
        <f>IF('Pollas Fase de Grupos'!L17&gt;'Pollas Fase de Grupos'!M17,'Pollas Fase de Grupos'!$L$2,IF('Pollas Fase de Grupos'!M17&gt;'Pollas Fase de Grupos'!L17,'Pollas Fase de Grupos'!$M$2,"EMPATE"))</f>
        <v>Paises Bajos</v>
      </c>
      <c r="K17" s="4">
        <f>PUNTAJE_GANADORES('Pollas Fase de Grupos'!L17,'Resultados Oficiales Fase de Gr'!$D$7,'Pollas Fase de Grupos'!M17,'Resultados Oficiales Fase de Gr'!$E$7,J17,'Resultados Oficiales Fase de Gr'!$G$7)</f>
        <v>3</v>
      </c>
      <c r="L17" s="85" t="str">
        <f>IF('Pollas Fase de Grupos'!N17&gt;'Pollas Fase de Grupos'!O17,'Pollas Fase de Grupos'!$N$2,IF('Pollas Fase de Grupos'!O17&gt;'Pollas Fase de Grupos'!N17,'Pollas Fase de Grupos'!$O$2,"EMPATE"))</f>
        <v>EMPATE</v>
      </c>
      <c r="M17" s="85">
        <f>PUNTAJE_GANADORES('Pollas Fase de Grupos'!N17,'Resultados Oficiales Fase de Gr'!$D$8,'Pollas Fase de Grupos'!O17,'Resultados Oficiales Fase de Gr'!$E$8,L17,'Resultados Oficiales Fase de Gr'!$G$8)</f>
        <v>1</v>
      </c>
      <c r="N17" s="85" t="str">
        <f>IF('Pollas Fase de Grupos'!P17&gt;'Pollas Fase de Grupos'!Q17,'Pollas Fase de Grupos'!$P$2,IF('Pollas Fase de Grupos'!Q17&gt;'Pollas Fase de Grupos'!P17,'Pollas Fase de Grupos'!$Q$2,"EMPATE"))</f>
        <v>Inglaterra</v>
      </c>
      <c r="O17" s="85">
        <f>PUNTAJE_GANADORES('Pollas Fase de Grupos'!P17,'Resultados Oficiales Fase de Gr'!$D$11,'Pollas Fase de Grupos'!Q17,'Resultados Oficiales Fase de Gr'!$E$11,N17,'Resultados Oficiales Fase de Gr'!$G$11)</f>
        <v>2</v>
      </c>
      <c r="P17" s="4" t="str">
        <f>IF('Pollas Fase de Grupos'!R17&gt;'Pollas Fase de Grupos'!S17,'Pollas Fase de Grupos'!$R$2,IF('Pollas Fase de Grupos'!S17&gt;'Pollas Fase de Grupos'!R17,'Pollas Fase de Grupos'!$S$2,"EMPATE"))</f>
        <v>Estados Unidos</v>
      </c>
      <c r="Q17" s="85">
        <f>PUNTAJE_GANADORES('Pollas Fase de Grupos'!R17,'Resultados Oficiales Fase de Gr'!$D$12,'Pollas Fase de Grupos'!S17,'Resultados Oficiales Fase de Gr'!$E$12,P17,'Resultados Oficiales Fase de Gr'!$G$12)</f>
        <v>1</v>
      </c>
      <c r="R17" s="85" t="str">
        <f>IF('Pollas Fase de Grupos'!T17&gt;'Pollas Fase de Grupos'!U17,'Pollas Fase de Grupos'!$T$2,IF('Pollas Fase de Grupos'!U17&gt;'Pollas Fase de Grupos'!T17,'Pollas Fase de Grupos'!$U$2,"EMPATE"))</f>
        <v>Inglaterra</v>
      </c>
      <c r="S17" s="4">
        <f>PUNTAJE_GANADORES('Pollas Fase de Grupos'!T17,'Resultados Oficiales Fase de Gr'!$D$13,'Pollas Fase de Grupos'!U17,'Resultados Oficiales Fase de Gr'!$E$13,R17,'Resultados Oficiales Fase de Gr'!$G$13)</f>
        <v>1</v>
      </c>
      <c r="T17" s="85" t="str">
        <f>IF('Pollas Fase de Grupos'!V17&gt;'Pollas Fase de Grupos'!W17,'Pollas Fase de Grupos'!$V$2,IF('Pollas Fase de Grupos'!W17&gt;'Pollas Fase de Grupos'!V17,'Pollas Fase de Grupos'!$W$2,"EMPATE"))</f>
        <v>EMPATE</v>
      </c>
      <c r="U17" s="86">
        <f>PUNTAJE_GANADORES('Pollas Fase de Grupos'!V17,'Resultados Oficiales Fase de Gr'!$D$14,'Pollas Fase de Grupos'!W17,'Resultados Oficiales Fase de Gr'!$E$14,T17,'Resultados Oficiales Fase de Gr'!$G$14)</f>
        <v>1</v>
      </c>
      <c r="V17" s="85" t="str">
        <f>IF('Pollas Fase de Grupos'!X17&gt;'Pollas Fase de Grupos'!Y17,'Pollas Fase de Grupos'!$X$2,IF('Pollas Fase de Grupos'!Y17&gt;'Pollas Fase de Grupos'!X17,'Pollas Fase de Grupos'!$Y$2,"EMPATE"))</f>
        <v>Inglaterra</v>
      </c>
      <c r="W17" s="85">
        <f>PUNTAJE_GANADORES('Pollas Fase de Grupos'!X17,'Resultados Oficiales Fase de Gr'!$D$15,'Pollas Fase de Grupos'!Y17,'Resultados Oficiales Fase de Gr'!$E$15,V17,'Resultados Oficiales Fase de Gr'!$G$15)</f>
        <v>3</v>
      </c>
      <c r="X17" s="85" t="str">
        <f>IF('Pollas Fase de Grupos'!Z17&gt;'Pollas Fase de Grupos'!AA17,'Pollas Fase de Grupos'!$Z$2,IF('Pollas Fase de Grupos'!AA17&gt;'Pollas Fase de Grupos'!Z17,'Pollas Fase de Grupos'!$AA$2,"EMPATE"))</f>
        <v>Estados Unidos</v>
      </c>
      <c r="Y17" s="87">
        <f>PUNTAJE_GANADORES('Pollas Fase de Grupos'!Z17,'Resultados Oficiales Fase de Gr'!$D$16,'Pollas Fase de Grupos'!AA17,'Resultados Oficiales Fase de Gr'!$E$16,X17,'Resultados Oficiales Fase de Gr'!$G$16)</f>
        <v>3</v>
      </c>
      <c r="Z17" s="85" t="str">
        <f>IF('Pollas Fase de Grupos'!AB17&gt;'Pollas Fase de Grupos'!AC17,'Pollas Fase de Grupos'!$AB$2,IF('Pollas Fase de Grupos'!AC17&gt;'Pollas Fase de Grupos'!AB17,'Pollas Fase de Grupos'!$AC$2,"EMPATE"))</f>
        <v>Argentina</v>
      </c>
      <c r="AA17" s="85">
        <f>PUNTAJE_GANADORES('Pollas Fase de Grupos'!AB17,'Resultados Oficiales Fase de Gr'!$D$19,'Pollas Fase de Grupos'!AC17,'Resultados Oficiales Fase de Gr'!$E$19,Z17,'Resultados Oficiales Fase de Gr'!$G$19)</f>
        <v>0</v>
      </c>
      <c r="AB17" s="85" t="str">
        <f>IF('Pollas Fase de Grupos'!AD17&gt;'Pollas Fase de Grupos'!AE17,'Pollas Fase de Grupos'!$AD$2,IF('Pollas Fase de Grupos'!AE17&gt;'Pollas Fase de Grupos'!AD17,'Pollas Fase de Grupos'!$AE$2,"EMPATE"))</f>
        <v>Polonia</v>
      </c>
      <c r="AC17" s="85">
        <f>PUNTAJE_GANADORES('Pollas Fase de Grupos'!AD17,'Resultados Oficiales Fase de Gr'!$D$20,'Pollas Fase de Grupos'!AE17,'Resultados Oficiales Fase de Gr'!$E$20,AB17,'Resultados Oficiales Fase de Gr'!$G$20)</f>
        <v>0</v>
      </c>
      <c r="AD17" s="85" t="str">
        <f>IF('Pollas Fase de Grupos'!AF17&gt;'Pollas Fase de Grupos'!AG17,'Pollas Fase de Grupos'!$AF$2,IF('Pollas Fase de Grupos'!AG17&gt;'Pollas Fase de Grupos'!AF17,'Pollas Fase de Grupos'!$AG$2,"EMPATE"))</f>
        <v>Argentina</v>
      </c>
      <c r="AE17" s="85">
        <f>PUNTAJE_GANADORES('Pollas Fase de Grupos'!AF17,'Resultados Oficiales Fase de Gr'!$D$21,'Pollas Fase de Grupos'!AG17,'Resultados Oficiales Fase de Gr'!$E$21,AD17,'Resultados Oficiales Fase de Gr'!$G$21)</f>
        <v>3</v>
      </c>
      <c r="AF17" s="85" t="str">
        <f>IF('Pollas Fase de Grupos'!AH17&gt;'Pollas Fase de Grupos'!AI17,'Pollas Fase de Grupos'!$AH$2,IF('Pollas Fase de Grupos'!AI17&gt;'Pollas Fase de Grupos'!AH17,'Pollas Fase de Grupos'!$AI$2,"EMPATE"))</f>
        <v>Polonia</v>
      </c>
      <c r="AG17" s="85">
        <f>PUNTAJE_GANADORES('Pollas Fase de Grupos'!AH17,'Resultados Oficiales Fase de Gr'!$D$22,'Pollas Fase de Grupos'!AI17,'Resultados Oficiales Fase de Gr'!$E$22,AF17,'Resultados Oficiales Fase de Gr'!$G$22)</f>
        <v>5</v>
      </c>
      <c r="AH17" s="85" t="str">
        <f>IF('Pollas Fase de Grupos'!AJ17&gt;'Pollas Fase de Grupos'!AK17,'Pollas Fase de Grupos'!$AJ$2,IF('Pollas Fase de Grupos'!AK17&gt;'Pollas Fase de Grupos'!AJ17,'Pollas Fase de Grupos'!$AK$2,"EMPATE"))</f>
        <v>EMPATE</v>
      </c>
      <c r="AI17" s="85">
        <f>PUNTAJE_GANADORES('Pollas Fase de Grupos'!AJ17,'Resultados Oficiales Fase de Gr'!$D$23,'Pollas Fase de Grupos'!AK17,'Resultados Oficiales Fase de Gr'!$E$23,AH17,'Resultados Oficiales Fase de Gr'!$G$23)</f>
        <v>0</v>
      </c>
      <c r="AJ17" s="85" t="str">
        <f>IF('Pollas Fase de Grupos'!AL17&gt;'Pollas Fase de Grupos'!AM17,'Pollas Fase de Grupos'!$AL$2,IF('Pollas Fase de Grupos'!AM17&gt;'Pollas Fase de Grupos'!AL17,'Pollas Fase de Grupos'!$AM$2,"EMPATE"))</f>
        <v>Mexico</v>
      </c>
      <c r="AK17" s="85">
        <f>PUNTAJE_GANADORES('Pollas Fase de Grupos'!AL17,'Resultados Oficiales Fase de Gr'!$D$24,'Pollas Fase de Grupos'!AM17,'Resultados Oficiales Fase de Gr'!$E$24,AJ17,'Resultados Oficiales Fase de Gr'!$G$24)</f>
        <v>5</v>
      </c>
      <c r="AL17" s="85" t="str">
        <f>IF('Pollas Fase de Grupos'!AN17&gt;'Pollas Fase de Grupos'!AO17,'Pollas Fase de Grupos'!$AN$2,IF('Pollas Fase de Grupos'!AO17&gt;'Pollas Fase de Grupos'!AN17,'Pollas Fase de Grupos'!$AO$2,"EMPATE"))</f>
        <v>Francia</v>
      </c>
      <c r="AM17" s="85">
        <f>PUNTAJE_GANADORES('Pollas Fase de Grupos'!AN17,'Resultados Oficiales Fase de Gr'!$D$27,'Pollas Fase de Grupos'!AO17,'Resultados Oficiales Fase de Gr'!$E$27,AL17,'Resultados Oficiales Fase de Gr'!$G$27)</f>
        <v>2</v>
      </c>
      <c r="AN17" s="85" t="str">
        <f>IF('Pollas Fase de Grupos'!AP17&gt;'Pollas Fase de Grupos'!AQ17,'Pollas Fase de Grupos'!$AP$2,IF('Pollas Fase de Grupos'!AQ17&gt;'Pollas Fase de Grupos'!AP17,'Pollas Fase de Grupos'!$AQ$2,"EMPATE"))</f>
        <v>Dinamarca</v>
      </c>
      <c r="AO17" s="85">
        <f>PUNTAJE_GANADORES('Pollas Fase de Grupos'!AP17,'Resultados Oficiales Fase de Gr'!$D$28,'Pollas Fase de Grupos'!AQ17,'Resultados Oficiales Fase de Gr'!$E$28,AN17,'Resultados Oficiales Fase de Gr'!$G$28)</f>
        <v>0</v>
      </c>
      <c r="AP17" s="85" t="str">
        <f>IF('Pollas Fase de Grupos'!AR17&gt;'Pollas Fase de Grupos'!AS17,'Pollas Fase de Grupos'!$AR$2,IF('Pollas Fase de Grupos'!AS17&gt;'Pollas Fase de Grupos'!AR17,'Pollas Fase de Grupos'!$AS$2,"EMPATE"))</f>
        <v>Francia</v>
      </c>
      <c r="AQ17" s="85">
        <f>PUNTAJE_GANADORES('Pollas Fase de Grupos'!AR17,'Resultados Oficiales Fase de Gr'!$D$29,'Pollas Fase de Grupos'!AS17,'Resultados Oficiales Fase de Gr'!$E$29,AP17,'Resultados Oficiales Fase de Gr'!$G$29)</f>
        <v>2</v>
      </c>
      <c r="AR17" s="85" t="str">
        <f>IF('Pollas Fase de Grupos'!AT17&gt;'Pollas Fase de Grupos'!AU17,'Pollas Fase de Grupos'!$AT$2,IF('Pollas Fase de Grupos'!AU17&gt;'Pollas Fase de Grupos'!AT17,'Pollas Fase de Grupos'!$AU$2,"EMPATE"))</f>
        <v>EMPATE</v>
      </c>
      <c r="AS17" s="85">
        <f>PUNTAJE_GANADORES('Pollas Fase de Grupos'!AT17,'Resultados Oficiales Fase de Gr'!$D$30,'Pollas Fase de Grupos'!AU17,'Resultados Oficiales Fase de Gr'!$E$30,AR17,'Resultados Oficiales Fase de Gr'!$G$30)</f>
        <v>0</v>
      </c>
      <c r="AT17" s="85" t="str">
        <f>IF('Pollas Fase de Grupos'!AV17&gt;'Pollas Fase de Grupos'!AW17,'Pollas Fase de Grupos'!$AV$2,IF('Pollas Fase de Grupos'!AW17&gt;'Pollas Fase de Grupos'!AV17,'Pollas Fase de Grupos'!$AW$2,"EMPATE"))</f>
        <v>Francia</v>
      </c>
      <c r="AU17" s="85">
        <f>PUNTAJE_GANADORES('Pollas Fase de Grupos'!AV17,'Resultados Oficiales Fase de Gr'!$D$31,'Pollas Fase de Grupos'!AW17,'Resultados Oficiales Fase de Gr'!$E$31,AT17,'Resultados Oficiales Fase de Gr'!$G$31)</f>
        <v>1</v>
      </c>
      <c r="AV17" s="85" t="str">
        <f>IF('Pollas Fase de Grupos'!AX17&gt;'Pollas Fase de Grupos'!AY17,'Pollas Fase de Grupos'!$AX$2,IF('Pollas Fase de Grupos'!AY17&gt;'Pollas Fase de Grupos'!AX17,'Pollas Fase de Grupos'!$AY$2,"EMPATE"))</f>
        <v>EMPATE</v>
      </c>
      <c r="AW17" s="85">
        <f>PUNTAJE_GANADORES('Pollas Fase de Grupos'!AX17,'Resultados Oficiales Fase de Gr'!$D$32,'Pollas Fase de Grupos'!AY17,'Resultados Oficiales Fase de Gr'!$E$32,AV17,'Resultados Oficiales Fase de Gr'!$G$32)</f>
        <v>1</v>
      </c>
      <c r="AX17" s="85" t="str">
        <f>IF('Pollas Fase de Grupos'!AZ17&gt;'Pollas Fase de Grupos'!BA17,'Pollas Fase de Grupos'!$AZ$2,IF('Pollas Fase de Grupos'!BA17&gt;'Pollas Fase de Grupos'!AZ17,'Pollas Fase de Grupos'!$BA$2,"EMPATE"))</f>
        <v>España</v>
      </c>
      <c r="AY17" s="85">
        <f>PUNTAJE_GANADORES('Pollas Fase de Grupos'!AZ17,'Resultados Oficiales Fase de Gr'!$D$35,'Pollas Fase de Grupos'!BA17,'Resultados Oficiales Fase de Gr'!$E$35,AX17,'Resultados Oficiales Fase de Gr'!$G$35)</f>
        <v>0</v>
      </c>
      <c r="AZ17" s="85" t="str">
        <f>IF('Pollas Fase de Grupos'!BB17&gt;'Pollas Fase de Grupos'!BC17,'Pollas Fase de Grupos'!$BB$2,IF('Pollas Fase de Grupos'!BC17&gt;'Pollas Fase de Grupos'!BB17,'Pollas Fase de Grupos'!$BC$2,"EMPATE"))</f>
        <v>Alemania</v>
      </c>
      <c r="BA17" s="85">
        <f>PUNTAJE_GANADORES('Pollas Fase de Grupos'!BB17,'Resultados Oficiales Fase de Gr'!$D$36,'Pollas Fase de Grupos'!BC17,'Resultados Oficiales Fase de Gr'!$E$36,AZ17,'Resultados Oficiales Fase de Gr'!$G$36)</f>
        <v>0</v>
      </c>
      <c r="BB17" s="85" t="str">
        <f>IF('Pollas Fase de Grupos'!BD17&gt;'Pollas Fase de Grupos'!BE17,'Pollas Fase de Grupos'!$BD$2,IF('Pollas Fase de Grupos'!BE17&gt;'Pollas Fase de Grupos'!BD17,'Pollas Fase de Grupos'!$BE$2,"EMPATE"))</f>
        <v>España</v>
      </c>
      <c r="BC17" s="85">
        <f>PUNTAJE_GANADORES('Pollas Fase de Grupos'!BD17,'Resultados Oficiales Fase de Gr'!$D$37,'Pollas Fase de Grupos'!BE17,'Resultados Oficiales Fase de Gr'!$E$37,BB17,'Resultados Oficiales Fase de Gr'!$G$37)</f>
        <v>0</v>
      </c>
      <c r="BD17" s="85" t="str">
        <f>IF('Pollas Fase de Grupos'!BF17&gt;'Pollas Fase de Grupos'!BG17,'Pollas Fase de Grupos'!$BF$2,IF('Pollas Fase de Grupos'!BG17&gt;'Pollas Fase de Grupos'!BF17,'Pollas Fase de Grupos'!$BG$2,"EMPATE"))</f>
        <v>EMPATE</v>
      </c>
      <c r="BE17" s="85">
        <f>PUNTAJE_GANADORES('Pollas Fase de Grupos'!BF17,'Resultados Oficiales Fase de Gr'!$D$38,'Pollas Fase de Grupos'!BG17,'Resultados Oficiales Fase de Gr'!$E$38,BD17,'Resultados Oficiales Fase de Gr'!$G$38)</f>
        <v>1</v>
      </c>
      <c r="BF17" s="85" t="str">
        <f>IF('Pollas Fase de Grupos'!BH17&gt;'Pollas Fase de Grupos'!BI17,'Pollas Fase de Grupos'!$BH$2,IF('Pollas Fase de Grupos'!BI17&gt;'Pollas Fase de Grupos'!BH17,'Pollas Fase de Grupos'!$BI$2,"EMPATE"))</f>
        <v>España</v>
      </c>
      <c r="BG17" s="85">
        <f>PUNTAJE_GANADORES('Pollas Fase de Grupos'!BH17,'Resultados Oficiales Fase de Gr'!$D$39,'Pollas Fase de Grupos'!BI17,'Resultados Oficiales Fase de Gr'!$E$39,BF17,'Resultados Oficiales Fase de Gr'!$G$39)</f>
        <v>0</v>
      </c>
      <c r="BH17" s="85" t="str">
        <f>IF('Pollas Fase de Grupos'!BJ17&gt;'Pollas Fase de Grupos'!BK17,'Pollas Fase de Grupos'!$BJ$2,IF('Pollas Fase de Grupos'!BK17&gt;'Pollas Fase de Grupos'!BJ17,'Pollas Fase de Grupos'!$BK$2,"EMPATE"))</f>
        <v>Alemania</v>
      </c>
      <c r="BI17" s="85">
        <f>PUNTAJE_GANADORES('Pollas Fase de Grupos'!BJ17,'Resultados Oficiales Fase de Gr'!$D$40,'Pollas Fase de Grupos'!BK17,'Resultados Oficiales Fase de Gr'!$E$40,BH17,'Resultados Oficiales Fase de Gr'!$G$40)</f>
        <v>2</v>
      </c>
      <c r="BJ17" s="85" t="str">
        <f>IF('Pollas Fase de Grupos'!BL17&gt;'Pollas Fase de Grupos'!BM17,'Pollas Fase de Grupos'!$BL$2,IF('Pollas Fase de Grupos'!BM17&gt;'Pollas Fase de Grupos'!BL17,'Pollas Fase de Grupos'!$BM$2,"EMPATE"))</f>
        <v>Belgica</v>
      </c>
      <c r="BK17" s="85">
        <f>PUNTAJE_GANADORES('Pollas Fase de Grupos'!BL17,'Resultados Oficiales Fase de Gr'!$D$43,'Pollas Fase de Grupos'!BM17,'Resultados Oficiales Fase de Gr'!$E$43,BJ17,'Resultados Oficiales Fase de Gr'!$G$43)</f>
        <v>2</v>
      </c>
      <c r="BL17" s="85" t="str">
        <f>IF('Pollas Fase de Grupos'!BN17&gt;'Pollas Fase de Grupos'!BO17,'Pollas Fase de Grupos'!$BN$2,IF('Pollas Fase de Grupos'!BO17&gt;'Pollas Fase de Grupos'!BN17,'Pollas Fase de Grupos'!$BO$2,"EMPATE"))</f>
        <v>Croacia</v>
      </c>
      <c r="BM17" s="85">
        <f>PUNTAJE_GANADORES('Pollas Fase de Grupos'!BN17,'Resultados Oficiales Fase de Gr'!$D$44,'Pollas Fase de Grupos'!BO17,'Resultados Oficiales Fase de Gr'!$E$44,BL17,'Resultados Oficiales Fase de Gr'!$G$44)</f>
        <v>1</v>
      </c>
      <c r="BN17" s="85" t="str">
        <f>IF('Pollas Fase de Grupos'!BP17&gt;'Pollas Fase de Grupos'!BQ17,'Pollas Fase de Grupos'!$BP$2,IF('Pollas Fase de Grupos'!BQ17&gt;'Pollas Fase de Grupos'!BP17,'Pollas Fase de Grupos'!$BQ$2,"EMPATE"))</f>
        <v>Belgica</v>
      </c>
      <c r="BO17" s="85">
        <f>PUNTAJE_GANADORES('Pollas Fase de Grupos'!BP17,'Resultados Oficiales Fase de Gr'!$D$45,'Pollas Fase de Grupos'!BQ17,'Resultados Oficiales Fase de Gr'!$E$45,BN17,'Resultados Oficiales Fase de Gr'!$G$45)</f>
        <v>0</v>
      </c>
      <c r="BP17" s="85" t="str">
        <f>IF('Pollas Fase de Grupos'!BR17&gt;'Pollas Fase de Grupos'!BS17,'Pollas Fase de Grupos'!$BR$2,IF('Pollas Fase de Grupos'!BS17&gt;'Pollas Fase de Grupos'!BR17,'Pollas Fase de Grupos'!$BS$2,"EMPATE"))</f>
        <v>Croacia</v>
      </c>
      <c r="BQ17" s="85">
        <f>PUNTAJE_GANADORES('Pollas Fase de Grupos'!BR17,'Resultados Oficiales Fase de Gr'!$D$46,'Pollas Fase de Grupos'!BS17,'Resultados Oficiales Fase de Gr'!$E$46,BP17,'Resultados Oficiales Fase de Gr'!$G$46)</f>
        <v>3</v>
      </c>
      <c r="BR17" s="85" t="str">
        <f>IF('Pollas Fase de Grupos'!BT17&gt;'Pollas Fase de Grupos'!BU17,'Pollas Fase de Grupos'!$BT$2,IF('Pollas Fase de Grupos'!BU17&gt;'Pollas Fase de Grupos'!BT17,'Pollas Fase de Grupos'!$BU$2,"EMPATE"))</f>
        <v>EMPATE</v>
      </c>
      <c r="BS17" s="85">
        <f>PUNTAJE_GANADORES('Pollas Fase de Grupos'!BT17,'Resultados Oficiales Fase de Gr'!$D$47,'Pollas Fase de Grupos'!BU17,'Resultados Oficiales Fase de Gr'!$E$47,BR17,'Resultados Oficiales Fase de Gr'!$G$47)</f>
        <v>1</v>
      </c>
      <c r="BT17" s="85" t="str">
        <f>IF('Pollas Fase de Grupos'!BV17&gt;'Pollas Fase de Grupos'!BW17,'Pollas Fase de Grupos'!$BV$2,IF('Pollas Fase de Grupos'!BW17&gt;'Pollas Fase de Grupos'!BV17,'Pollas Fase de Grupos'!$BW$2,"EMPATE"))</f>
        <v>Canada</v>
      </c>
      <c r="BU17" s="85">
        <f>PUNTAJE_GANADORES('Pollas Fase de Grupos'!BV17,'Resultados Oficiales Fase de Gr'!$D$48,'Pollas Fase de Grupos'!BW17,'Resultados Oficiales Fase de Gr'!$E$48,BT17,'Resultados Oficiales Fase de Gr'!$G$48)</f>
        <v>1</v>
      </c>
      <c r="BV17" s="85" t="str">
        <f>IF('Pollas Fase de Grupos'!BX17&gt;'Pollas Fase de Grupos'!BY17,'Pollas Fase de Grupos'!$BX$2,IF('Pollas Fase de Grupos'!BY17&gt;'Pollas Fase de Grupos'!BX17,'Pollas Fase de Grupos'!$BY$2,"EMPATE"))</f>
        <v>Brasil</v>
      </c>
      <c r="BW17" s="85">
        <f>PUNTAJE_GANADORES('Pollas Fase de Grupos'!BX17,'Resultados Oficiales Fase de Gr'!$D$51,'Pollas Fase de Grupos'!BY17,'Resultados Oficiales Fase de Gr'!$E$51,BV17,'Resultados Oficiales Fase de Gr'!$G$51)</f>
        <v>3</v>
      </c>
      <c r="BX17" s="85" t="str">
        <f>IF('Pollas Fase de Grupos'!BZ17&gt;'Pollas Fase de Grupos'!CA17,'Pollas Fase de Grupos'!$BZ$2,IF('Pollas Fase de Grupos'!CA17&gt;'Pollas Fase de Grupos'!BZ17,'Pollas Fase de Grupos'!$CA$2,"EMPATE"))</f>
        <v>Suiza</v>
      </c>
      <c r="BY17" s="85">
        <f>PUNTAJE_GANADORES('Pollas Fase de Grupos'!BZ17,'Resultados Oficiales Fase de Gr'!$D$52,'Pollas Fase de Grupos'!CA17,'Resultados Oficiales Fase de Gr'!$E$52,BX17,'Resultados Oficiales Fase de Gr'!$G$52)</f>
        <v>2</v>
      </c>
      <c r="BZ17" s="85" t="str">
        <f>IF('Pollas Fase de Grupos'!CB17&gt;'Pollas Fase de Grupos'!CC17,'Pollas Fase de Grupos'!$CB$2,IF('Pollas Fase de Grupos'!CC17&gt;'Pollas Fase de Grupos'!CB17,'Pollas Fase de Grupos'!$CC$2,"EMPATE"))</f>
        <v>Brasil</v>
      </c>
      <c r="CA17" s="85">
        <f>PUNTAJE_GANADORES('Pollas Fase de Grupos'!CB17,'Resultados Oficiales Fase de Gr'!$D$53,'Pollas Fase de Grupos'!CC17,'Resultados Oficiales Fase de Gr'!$E$53,BZ17,'Resultados Oficiales Fase de Gr'!$G$53)</f>
        <v>2</v>
      </c>
      <c r="CB17" s="85" t="str">
        <f>IF('Pollas Fase de Grupos'!CD17&gt;'Pollas Fase de Grupos'!CE17,'Pollas Fase de Grupos'!$CD$2,IF('Pollas Fase de Grupos'!CE17&gt;'Pollas Fase de Grupos'!CD17,'Pollas Fase de Grupos'!$CE$2,"EMPATE"))</f>
        <v>Camerun</v>
      </c>
      <c r="CC17" s="85">
        <f>PUNTAJE_GANADORES('Pollas Fase de Grupos'!CD17,'Resultados Oficiales Fase de Gr'!$D$54,'Pollas Fase de Grupos'!CE17,'Resultados Oficiales Fase de Gr'!$E$54,CB17,'Resultados Oficiales Fase de Gr'!$G$54)</f>
        <v>0</v>
      </c>
      <c r="CD17" s="85" t="str">
        <f>IF('Pollas Fase de Grupos'!CF17&gt;'Pollas Fase de Grupos'!CG17,'Pollas Fase de Grupos'!$CF$2,IF('Pollas Fase de Grupos'!CG17&gt;'Pollas Fase de Grupos'!CF17,'Pollas Fase de Grupos'!$CG$2,"EMPATE"))</f>
        <v>Brasil</v>
      </c>
      <c r="CE17" s="85">
        <f>PUNTAJE_GANADORES('Pollas Fase de Grupos'!CF17,'Resultados Oficiales Fase de Gr'!$D$55,'Pollas Fase de Grupos'!CG17,'Resultados Oficiales Fase de Gr'!$E$55,CD17,'Resultados Oficiales Fase de Gr'!$G$55)</f>
        <v>1</v>
      </c>
      <c r="CF17" s="85" t="str">
        <f>IF('Pollas Fase de Grupos'!CH17&gt;'Pollas Fase de Grupos'!CI17,'Pollas Fase de Grupos'!$CH$2,IF('Pollas Fase de Grupos'!CI17&gt;'Pollas Fase de Grupos'!CH17,'Pollas Fase de Grupos'!$CI$2,"EMPATE"))</f>
        <v>Suiza</v>
      </c>
      <c r="CG17" s="85">
        <f>PUNTAJE_GANADORES('Pollas Fase de Grupos'!CH17,'Resultados Oficiales Fase de Gr'!$D$56,'Pollas Fase de Grupos'!CI17,'Resultados Oficiales Fase de Gr'!$E$56,CF17,'Resultados Oficiales Fase de Gr'!$G$56)</f>
        <v>2</v>
      </c>
      <c r="CH17" s="85" t="str">
        <f>IF('Pollas Fase de Grupos'!CJ17&gt;'Pollas Fase de Grupos'!CK17,'Pollas Fase de Grupos'!$CJ$2,IF('Pollas Fase de Grupos'!CK17&gt;'Pollas Fase de Grupos'!CJ17,'Pollas Fase de Grupos'!$CK$2,"EMPATE"))</f>
        <v>Portugal</v>
      </c>
      <c r="CI17" s="85">
        <f>PUNTAJE_GANADORES('Pollas Fase de Grupos'!CJ17,'Resultados Oficiales Fase de Gr'!$D$59,'Pollas Fase de Grupos'!CK17,'Resultados Oficiales Fase de Gr'!$E$59,CH17,'Resultados Oficiales Fase de Gr'!$G$59)</f>
        <v>2</v>
      </c>
      <c r="CJ17" s="85" t="str">
        <f>IF('Pollas Fase de Grupos'!CL17&gt;'Pollas Fase de Grupos'!CM17,'Pollas Fase de Grupos'!$CL$2,IF('Pollas Fase de Grupos'!CM17&gt;'Pollas Fase de Grupos'!CL17,'Pollas Fase de Grupos'!$CM$2,"EMPATE"))</f>
        <v>Uruguay</v>
      </c>
      <c r="CK17" s="85">
        <f>PUNTAJE_GANADORES('Pollas Fase de Grupos'!CL17,'Resultados Oficiales Fase de Gr'!$D$60,'Pollas Fase de Grupos'!CM17,'Resultados Oficiales Fase de Gr'!$E$60,CJ17,'Resultados Oficiales Fase de Gr'!$G$60)</f>
        <v>1</v>
      </c>
      <c r="CL17" s="85" t="str">
        <f>IF('Pollas Fase de Grupos'!CN17&gt;'Pollas Fase de Grupos'!CO17,'Pollas Fase de Grupos'!$CN$2,IF('Pollas Fase de Grupos'!CO17&gt;'Pollas Fase de Grupos'!CN17,'Pollas Fase de Grupos'!$CO$2,"EMPATE"))</f>
        <v>Uruguay</v>
      </c>
      <c r="CM17" s="85">
        <f>PUNTAJE_GANADORES('Pollas Fase de Grupos'!CN17,'Resultados Oficiales Fase de Gr'!$D$61,'Pollas Fase de Grupos'!CO17,'Resultados Oficiales Fase de Gr'!$E$61,CL17,'Resultados Oficiales Fase de Gr'!$G$61)</f>
        <v>0</v>
      </c>
      <c r="CN17" s="85" t="str">
        <f>IF('Pollas Fase de Grupos'!CP17&gt;'Pollas Fase de Grupos'!CQ17,'Pollas Fase de Grupos'!$CP$2,IF('Pollas Fase de Grupos'!CQ17&gt;'Pollas Fase de Grupos'!CP17,'Pollas Fase de Grupos'!$CQ$2,"EMPATE"))</f>
        <v>EMPATE</v>
      </c>
      <c r="CO17" s="85">
        <f>PUNTAJE_GANADORES('Pollas Fase de Grupos'!CP17,'Resultados Oficiales Fase de Gr'!$D$62,'Pollas Fase de Grupos'!CQ17,'Resultados Oficiales Fase de Gr'!$E$62,CN17,'Resultados Oficiales Fase de Gr'!$G$62)</f>
        <v>0</v>
      </c>
      <c r="CP17" s="85" t="str">
        <f>IF('Pollas Fase de Grupos'!CR17&gt;'Pollas Fase de Grupos'!CS17,'Pollas Fase de Grupos'!$CR$2,IF('Pollas Fase de Grupos'!CS17&gt;'Pollas Fase de Grupos'!CR17,'Pollas Fase de Grupos'!$CS$2,"EMPATE"))</f>
        <v>Portugal</v>
      </c>
      <c r="CQ17" s="85">
        <f>PUNTAJE_GANADORES('Pollas Fase de Grupos'!CR17,'Resultados Oficiales Fase de Gr'!$D$63,'Pollas Fase de Grupos'!CS17,'Resultados Oficiales Fase de Gr'!$E$63,CP17,'Resultados Oficiales Fase de Gr'!$G$63)</f>
        <v>0</v>
      </c>
      <c r="CR17" s="85" t="str">
        <f>IF('Pollas Fase de Grupos'!CT17&gt;'Pollas Fase de Grupos'!CU17,'Pollas Fase de Grupos'!$CT$2,IF('Pollas Fase de Grupos'!CU17&gt;'Pollas Fase de Grupos'!CT17,'Pollas Fase de Grupos'!$CU$2,"EMPATE"))</f>
        <v>Uruguay</v>
      </c>
      <c r="CS17" s="85">
        <f>PUNTAJE_GANADORES('Pollas Fase de Grupos'!CT17,'Resultados Oficiales Fase de Gr'!$D$64,'Pollas Fase de Grupos'!CU17,'Resultados Oficiales Fase de Gr'!$E$64,CR17,'Resultados Oficiales Fase de Gr'!$G$64)</f>
        <v>3</v>
      </c>
      <c r="CT17" s="4">
        <f t="shared" si="1"/>
        <v>64</v>
      </c>
      <c r="CU17" s="17">
        <v>40.0</v>
      </c>
      <c r="CV17" s="3">
        <f t="shared" si="2"/>
        <v>67</v>
      </c>
    </row>
    <row r="18">
      <c r="A18" s="3" t="str">
        <f>'Pollas Fase de Grupos'!CV18</f>
        <v>John Jaramillo-Diogenes Restrepo</v>
      </c>
      <c r="B18" s="4" t="str">
        <f>IF('Pollas Fase de Grupos'!D18&gt;'Pollas Fase de Grupos'!E18,'Pollas Fase de Grupos'!$D$2,IF('Pollas Fase de Grupos'!E18&gt;'Pollas Fase de Grupos'!D18,'Pollas Fase de Grupos'!$E$2,"EMPATE"))</f>
        <v>Ecuador</v>
      </c>
      <c r="C18" s="4">
        <f>PUNTAJE_GANADORES('Pollas Fase de Grupos'!D18,'Resultados Oficiales Fase de Gr'!$D$3,'Pollas Fase de Grupos'!E18,'Resultados Oficiales Fase de Gr'!$E$3,B18,'Resultados Oficiales Fase de Gr'!$G$3)</f>
        <v>5</v>
      </c>
      <c r="D18" s="85" t="str">
        <f>IF('Pollas Fase de Grupos'!F18&gt;'Pollas Fase de Grupos'!G18,'Pollas Fase de Grupos'!$F$2,IF('Pollas Fase de Grupos'!G18&gt;'Pollas Fase de Grupos'!F18,'Pollas Fase de Grupos'!$G$2,"EMPATE"))</f>
        <v>Paises Bajos</v>
      </c>
      <c r="E18" s="4">
        <f>PUNTAJE_GANADORES('Pollas Fase de Grupos'!F18,'Resultados Oficiales Fase de Gr'!$D$4,'Pollas Fase de Grupos'!G18,'Resultados Oficiales Fase de Gr'!$E$4,D18,'Resultados Oficiales Fase de Gr'!$G$4)</f>
        <v>2</v>
      </c>
      <c r="F18" s="85" t="str">
        <f>IF('Pollas Fase de Grupos'!H18&gt;'Pollas Fase de Grupos'!I18,'Pollas Fase de Grupos'!$H$2,IF('Pollas Fase de Grupos'!I18&gt;'Pollas Fase de Grupos'!H18,'Pollas Fase de Grupos'!$I$2,"EMPATE"))</f>
        <v>Qatar</v>
      </c>
      <c r="G18" s="4">
        <f>PUNTAJE_GANADORES('Pollas Fase de Grupos'!H18,'Resultados Oficiales Fase de Gr'!$D$5,'Pollas Fase de Grupos'!I18,'Resultados Oficiales Fase de Gr'!$E$5,F18,'Resultados Oficiales Fase de Gr'!$G$5)</f>
        <v>1</v>
      </c>
      <c r="H18" s="85" t="str">
        <f>IF('Pollas Fase de Grupos'!J18&gt;'Pollas Fase de Grupos'!K18,'Pollas Fase de Grupos'!$J$2,IF('Pollas Fase de Grupos'!K18&gt;'Pollas Fase de Grupos'!J18,'Pollas Fase de Grupos'!$K$2,"EMPATE"))</f>
        <v>Paises Bajos</v>
      </c>
      <c r="I18" s="4">
        <f>PUNTAJE_GANADORES('Pollas Fase de Grupos'!J18,'Resultados Oficiales Fase de Gr'!$D$6,'Pollas Fase de Grupos'!K18,'Resultados Oficiales Fase de Gr'!$E$6,H18,'Resultados Oficiales Fase de Gr'!$G$6)</f>
        <v>1</v>
      </c>
      <c r="J18" s="85" t="str">
        <f>IF('Pollas Fase de Grupos'!L18&gt;'Pollas Fase de Grupos'!M18,'Pollas Fase de Grupos'!$L$2,IF('Pollas Fase de Grupos'!M18&gt;'Pollas Fase de Grupos'!L18,'Pollas Fase de Grupos'!$M$2,"EMPATE"))</f>
        <v>Paises Bajos</v>
      </c>
      <c r="K18" s="4">
        <f>PUNTAJE_GANADORES('Pollas Fase de Grupos'!L18,'Resultados Oficiales Fase de Gr'!$D$7,'Pollas Fase de Grupos'!M18,'Resultados Oficiales Fase de Gr'!$E$7,J18,'Resultados Oficiales Fase de Gr'!$G$7)</f>
        <v>3</v>
      </c>
      <c r="L18" s="85" t="str">
        <f>IF('Pollas Fase de Grupos'!N18&gt;'Pollas Fase de Grupos'!O18,'Pollas Fase de Grupos'!$N$2,IF('Pollas Fase de Grupos'!O18&gt;'Pollas Fase de Grupos'!N18,'Pollas Fase de Grupos'!$O$2,"EMPATE"))</f>
        <v>Ecuador</v>
      </c>
      <c r="M18" s="85">
        <f>PUNTAJE_GANADORES('Pollas Fase de Grupos'!N18,'Resultados Oficiales Fase de Gr'!$D$8,'Pollas Fase de Grupos'!O18,'Resultados Oficiales Fase de Gr'!$E$8,L18,'Resultados Oficiales Fase de Gr'!$G$8)</f>
        <v>1</v>
      </c>
      <c r="N18" s="85" t="str">
        <f>IF('Pollas Fase de Grupos'!P18&gt;'Pollas Fase de Grupos'!Q18,'Pollas Fase de Grupos'!$P$2,IF('Pollas Fase de Grupos'!Q18&gt;'Pollas Fase de Grupos'!P18,'Pollas Fase de Grupos'!$Q$2,"EMPATE"))</f>
        <v>Inglaterra</v>
      </c>
      <c r="O18" s="85">
        <f>PUNTAJE_GANADORES('Pollas Fase de Grupos'!P18,'Resultados Oficiales Fase de Gr'!$D$11,'Pollas Fase de Grupos'!Q18,'Resultados Oficiales Fase de Gr'!$E$11,N18,'Resultados Oficiales Fase de Gr'!$G$11)</f>
        <v>2</v>
      </c>
      <c r="P18" s="4" t="str">
        <f>IF('Pollas Fase de Grupos'!R18&gt;'Pollas Fase de Grupos'!S18,'Pollas Fase de Grupos'!$R$2,IF('Pollas Fase de Grupos'!S18&gt;'Pollas Fase de Grupos'!R18,'Pollas Fase de Grupos'!$S$2,"EMPATE"))</f>
        <v>Estados Unidos</v>
      </c>
      <c r="Q18" s="85">
        <f>PUNTAJE_GANADORES('Pollas Fase de Grupos'!R18,'Resultados Oficiales Fase de Gr'!$D$12,'Pollas Fase de Grupos'!S18,'Resultados Oficiales Fase de Gr'!$E$12,P18,'Resultados Oficiales Fase de Gr'!$G$12)</f>
        <v>1</v>
      </c>
      <c r="R18" s="85" t="str">
        <f>IF('Pollas Fase de Grupos'!T18&gt;'Pollas Fase de Grupos'!U18,'Pollas Fase de Grupos'!$T$2,IF('Pollas Fase de Grupos'!U18&gt;'Pollas Fase de Grupos'!T18,'Pollas Fase de Grupos'!$U$2,"EMPATE"))</f>
        <v>Inglaterra</v>
      </c>
      <c r="S18" s="4">
        <f>PUNTAJE_GANADORES('Pollas Fase de Grupos'!T18,'Resultados Oficiales Fase de Gr'!$D$13,'Pollas Fase de Grupos'!U18,'Resultados Oficiales Fase de Gr'!$E$13,R18,'Resultados Oficiales Fase de Gr'!$G$13)</f>
        <v>0</v>
      </c>
      <c r="T18" s="85" t="str">
        <f>IF('Pollas Fase de Grupos'!V18&gt;'Pollas Fase de Grupos'!W18,'Pollas Fase de Grupos'!$V$2,IF('Pollas Fase de Grupos'!W18&gt;'Pollas Fase de Grupos'!V18,'Pollas Fase de Grupos'!$W$2,"EMPATE"))</f>
        <v>Gales</v>
      </c>
      <c r="U18" s="86">
        <f>PUNTAJE_GANADORES('Pollas Fase de Grupos'!V18,'Resultados Oficiales Fase de Gr'!$D$14,'Pollas Fase de Grupos'!W18,'Resultados Oficiales Fase de Gr'!$E$14,T18,'Resultados Oficiales Fase de Gr'!$G$14)</f>
        <v>0</v>
      </c>
      <c r="V18" s="85" t="str">
        <f>IF('Pollas Fase de Grupos'!X18&gt;'Pollas Fase de Grupos'!Y18,'Pollas Fase de Grupos'!$X$2,IF('Pollas Fase de Grupos'!Y18&gt;'Pollas Fase de Grupos'!X18,'Pollas Fase de Grupos'!$Y$2,"EMPATE"))</f>
        <v>Inglaterra</v>
      </c>
      <c r="W18" s="85">
        <f>PUNTAJE_GANADORES('Pollas Fase de Grupos'!X18,'Resultados Oficiales Fase de Gr'!$D$15,'Pollas Fase de Grupos'!Y18,'Resultados Oficiales Fase de Gr'!$E$15,V18,'Resultados Oficiales Fase de Gr'!$G$15)</f>
        <v>3</v>
      </c>
      <c r="X18" s="85" t="str">
        <f>IF('Pollas Fase de Grupos'!Z18&gt;'Pollas Fase de Grupos'!AA18,'Pollas Fase de Grupos'!$Z$2,IF('Pollas Fase de Grupos'!AA18&gt;'Pollas Fase de Grupos'!Z18,'Pollas Fase de Grupos'!$AA$2,"EMPATE"))</f>
        <v>Estados Unidos</v>
      </c>
      <c r="Y18" s="87">
        <f>PUNTAJE_GANADORES('Pollas Fase de Grupos'!Z18,'Resultados Oficiales Fase de Gr'!$D$16,'Pollas Fase de Grupos'!AA18,'Resultados Oficiales Fase de Gr'!$E$16,X18,'Resultados Oficiales Fase de Gr'!$G$16)</f>
        <v>2</v>
      </c>
      <c r="Z18" s="85" t="str">
        <f>IF('Pollas Fase de Grupos'!AB18&gt;'Pollas Fase de Grupos'!AC18,'Pollas Fase de Grupos'!$AB$2,IF('Pollas Fase de Grupos'!AC18&gt;'Pollas Fase de Grupos'!AB18,'Pollas Fase de Grupos'!$AC$2,"EMPATE"))</f>
        <v>Argentina</v>
      </c>
      <c r="AA18" s="85">
        <f>PUNTAJE_GANADORES('Pollas Fase de Grupos'!AB18,'Resultados Oficiales Fase de Gr'!$D$19,'Pollas Fase de Grupos'!AC18,'Resultados Oficiales Fase de Gr'!$E$19,Z18,'Resultados Oficiales Fase de Gr'!$G$19)</f>
        <v>0</v>
      </c>
      <c r="AB18" s="85" t="str">
        <f>IF('Pollas Fase de Grupos'!AD18&gt;'Pollas Fase de Grupos'!AE18,'Pollas Fase de Grupos'!$AD$2,IF('Pollas Fase de Grupos'!AE18&gt;'Pollas Fase de Grupos'!AD18,'Pollas Fase de Grupos'!$AE$2,"EMPATE"))</f>
        <v>Polonia</v>
      </c>
      <c r="AC18" s="85">
        <f>PUNTAJE_GANADORES('Pollas Fase de Grupos'!AD18,'Resultados Oficiales Fase de Gr'!$D$20,'Pollas Fase de Grupos'!AE18,'Resultados Oficiales Fase de Gr'!$E$20,AB18,'Resultados Oficiales Fase de Gr'!$G$20)</f>
        <v>0</v>
      </c>
      <c r="AD18" s="85" t="str">
        <f>IF('Pollas Fase de Grupos'!AF18&gt;'Pollas Fase de Grupos'!AG18,'Pollas Fase de Grupos'!$AF$2,IF('Pollas Fase de Grupos'!AG18&gt;'Pollas Fase de Grupos'!AF18,'Pollas Fase de Grupos'!$AG$2,"EMPATE"))</f>
        <v>Argentina</v>
      </c>
      <c r="AE18" s="85">
        <f>PUNTAJE_GANADORES('Pollas Fase de Grupos'!AF18,'Resultados Oficiales Fase de Gr'!$D$21,'Pollas Fase de Grupos'!AG18,'Resultados Oficiales Fase de Gr'!$E$21,AD18,'Resultados Oficiales Fase de Gr'!$G$21)</f>
        <v>5</v>
      </c>
      <c r="AF18" s="85" t="str">
        <f>IF('Pollas Fase de Grupos'!AH18&gt;'Pollas Fase de Grupos'!AI18,'Pollas Fase de Grupos'!$AH$2,IF('Pollas Fase de Grupos'!AI18&gt;'Pollas Fase de Grupos'!AH18,'Pollas Fase de Grupos'!$AI$2,"EMPATE"))</f>
        <v>Polonia</v>
      </c>
      <c r="AG18" s="85">
        <f>PUNTAJE_GANADORES('Pollas Fase de Grupos'!AH18,'Resultados Oficiales Fase de Gr'!$D$22,'Pollas Fase de Grupos'!AI18,'Resultados Oficiales Fase de Gr'!$E$22,AF18,'Resultados Oficiales Fase de Gr'!$G$22)</f>
        <v>3</v>
      </c>
      <c r="AH18" s="85" t="str">
        <f>IF('Pollas Fase de Grupos'!AJ18&gt;'Pollas Fase de Grupos'!AK18,'Pollas Fase de Grupos'!$AJ$2,IF('Pollas Fase de Grupos'!AK18&gt;'Pollas Fase de Grupos'!AJ18,'Pollas Fase de Grupos'!$AK$2,"EMPATE"))</f>
        <v>Argentina</v>
      </c>
      <c r="AI18" s="85">
        <f>PUNTAJE_GANADORES('Pollas Fase de Grupos'!AJ18,'Resultados Oficiales Fase de Gr'!$D$23,'Pollas Fase de Grupos'!AK18,'Resultados Oficiales Fase de Gr'!$E$23,AH18,'Resultados Oficiales Fase de Gr'!$G$23)</f>
        <v>3</v>
      </c>
      <c r="AJ18" s="85" t="str">
        <f>IF('Pollas Fase de Grupos'!AL18&gt;'Pollas Fase de Grupos'!AM18,'Pollas Fase de Grupos'!$AL$2,IF('Pollas Fase de Grupos'!AM18&gt;'Pollas Fase de Grupos'!AL18,'Pollas Fase de Grupos'!$AM$2,"EMPATE"))</f>
        <v>Mexico</v>
      </c>
      <c r="AK18" s="85">
        <f>PUNTAJE_GANADORES('Pollas Fase de Grupos'!AL18,'Resultados Oficiales Fase de Gr'!$D$24,'Pollas Fase de Grupos'!AM18,'Resultados Oficiales Fase de Gr'!$E$24,AJ18,'Resultados Oficiales Fase de Gr'!$G$24)</f>
        <v>2</v>
      </c>
      <c r="AL18" s="85" t="str">
        <f>IF('Pollas Fase de Grupos'!AN18&gt;'Pollas Fase de Grupos'!AO18,'Pollas Fase de Grupos'!$AN$2,IF('Pollas Fase de Grupos'!AO18&gt;'Pollas Fase de Grupos'!AN18,'Pollas Fase de Grupos'!$AO$2,"EMPATE"))</f>
        <v>Francia</v>
      </c>
      <c r="AM18" s="85">
        <f>PUNTAJE_GANADORES('Pollas Fase de Grupos'!AN18,'Resultados Oficiales Fase de Gr'!$D$27,'Pollas Fase de Grupos'!AO18,'Resultados Oficiales Fase de Gr'!$E$27,AL18,'Resultados Oficiales Fase de Gr'!$G$27)</f>
        <v>3</v>
      </c>
      <c r="AN18" s="85" t="str">
        <f>IF('Pollas Fase de Grupos'!AP18&gt;'Pollas Fase de Grupos'!AQ18,'Pollas Fase de Grupos'!$AP$2,IF('Pollas Fase de Grupos'!AQ18&gt;'Pollas Fase de Grupos'!AP18,'Pollas Fase de Grupos'!$AQ$2,"EMPATE"))</f>
        <v>Dinamarca</v>
      </c>
      <c r="AO18" s="85">
        <f>PUNTAJE_GANADORES('Pollas Fase de Grupos'!AP18,'Resultados Oficiales Fase de Gr'!$D$28,'Pollas Fase de Grupos'!AQ18,'Resultados Oficiales Fase de Gr'!$E$28,AN18,'Resultados Oficiales Fase de Gr'!$G$28)</f>
        <v>0</v>
      </c>
      <c r="AP18" s="85" t="str">
        <f>IF('Pollas Fase de Grupos'!AR18&gt;'Pollas Fase de Grupos'!AS18,'Pollas Fase de Grupos'!$AR$2,IF('Pollas Fase de Grupos'!AS18&gt;'Pollas Fase de Grupos'!AR18,'Pollas Fase de Grupos'!$AS$2,"EMPATE"))</f>
        <v>Dinamarca</v>
      </c>
      <c r="AQ18" s="85">
        <f>PUNTAJE_GANADORES('Pollas Fase de Grupos'!AR18,'Resultados Oficiales Fase de Gr'!$D$29,'Pollas Fase de Grupos'!AS18,'Resultados Oficiales Fase de Gr'!$E$29,AP18,'Resultados Oficiales Fase de Gr'!$G$29)</f>
        <v>0</v>
      </c>
      <c r="AR18" s="85" t="str">
        <f>IF('Pollas Fase de Grupos'!AT18&gt;'Pollas Fase de Grupos'!AU18,'Pollas Fase de Grupos'!$AT$2,IF('Pollas Fase de Grupos'!AU18&gt;'Pollas Fase de Grupos'!AT18,'Pollas Fase de Grupos'!$AU$2,"EMPATE"))</f>
        <v>Tunez</v>
      </c>
      <c r="AS18" s="85">
        <f>PUNTAJE_GANADORES('Pollas Fase de Grupos'!AT18,'Resultados Oficiales Fase de Gr'!$D$30,'Pollas Fase de Grupos'!AU18,'Resultados Oficiales Fase de Gr'!$E$30,AR18,'Resultados Oficiales Fase de Gr'!$G$30)</f>
        <v>0</v>
      </c>
      <c r="AT18" s="85" t="str">
        <f>IF('Pollas Fase de Grupos'!AV18&gt;'Pollas Fase de Grupos'!AW18,'Pollas Fase de Grupos'!$AV$2,IF('Pollas Fase de Grupos'!AW18&gt;'Pollas Fase de Grupos'!AV18,'Pollas Fase de Grupos'!$AW$2,"EMPATE"))</f>
        <v>Francia</v>
      </c>
      <c r="AU18" s="85">
        <f>PUNTAJE_GANADORES('Pollas Fase de Grupos'!AV18,'Resultados Oficiales Fase de Gr'!$D$31,'Pollas Fase de Grupos'!AW18,'Resultados Oficiales Fase de Gr'!$E$31,AT18,'Resultados Oficiales Fase de Gr'!$G$31)</f>
        <v>1</v>
      </c>
      <c r="AV18" s="85" t="str">
        <f>IF('Pollas Fase de Grupos'!AX18&gt;'Pollas Fase de Grupos'!AY18,'Pollas Fase de Grupos'!$AX$2,IF('Pollas Fase de Grupos'!AY18&gt;'Pollas Fase de Grupos'!AX18,'Pollas Fase de Grupos'!$AY$2,"EMPATE"))</f>
        <v>Dinamarca</v>
      </c>
      <c r="AW18" s="85">
        <f>PUNTAJE_GANADORES('Pollas Fase de Grupos'!AX18,'Resultados Oficiales Fase de Gr'!$D$32,'Pollas Fase de Grupos'!AY18,'Resultados Oficiales Fase de Gr'!$E$32,AV18,'Resultados Oficiales Fase de Gr'!$G$32)</f>
        <v>0</v>
      </c>
      <c r="AX18" s="85" t="str">
        <f>IF('Pollas Fase de Grupos'!AZ18&gt;'Pollas Fase de Grupos'!BA18,'Pollas Fase de Grupos'!$AZ$2,IF('Pollas Fase de Grupos'!BA18&gt;'Pollas Fase de Grupos'!AZ18,'Pollas Fase de Grupos'!$BA$2,"EMPATE"))</f>
        <v>España</v>
      </c>
      <c r="AY18" s="85">
        <f>PUNTAJE_GANADORES('Pollas Fase de Grupos'!AZ18,'Resultados Oficiales Fase de Gr'!$D$35,'Pollas Fase de Grupos'!BA18,'Resultados Oficiales Fase de Gr'!$E$35,AX18,'Resultados Oficiales Fase de Gr'!$G$35)</f>
        <v>1</v>
      </c>
      <c r="AZ18" s="85" t="str">
        <f>IF('Pollas Fase de Grupos'!BB18&gt;'Pollas Fase de Grupos'!BC18,'Pollas Fase de Grupos'!$BB$2,IF('Pollas Fase de Grupos'!BC18&gt;'Pollas Fase de Grupos'!BB18,'Pollas Fase de Grupos'!$BC$2,"EMPATE"))</f>
        <v>Alemania</v>
      </c>
      <c r="BA18" s="85">
        <f>PUNTAJE_GANADORES('Pollas Fase de Grupos'!BB18,'Resultados Oficiales Fase de Gr'!$D$36,'Pollas Fase de Grupos'!BC18,'Resultados Oficiales Fase de Gr'!$E$36,AZ18,'Resultados Oficiales Fase de Gr'!$G$36)</f>
        <v>0</v>
      </c>
      <c r="BB18" s="85" t="str">
        <f>IF('Pollas Fase de Grupos'!BD18&gt;'Pollas Fase de Grupos'!BE18,'Pollas Fase de Grupos'!$BD$2,IF('Pollas Fase de Grupos'!BE18&gt;'Pollas Fase de Grupos'!BD18,'Pollas Fase de Grupos'!$BE$2,"EMPATE"))</f>
        <v>Alemania</v>
      </c>
      <c r="BC18" s="85">
        <f>PUNTAJE_GANADORES('Pollas Fase de Grupos'!BD18,'Resultados Oficiales Fase de Gr'!$D$37,'Pollas Fase de Grupos'!BE18,'Resultados Oficiales Fase de Gr'!$E$37,BB18,'Resultados Oficiales Fase de Gr'!$G$37)</f>
        <v>1</v>
      </c>
      <c r="BD18" s="85" t="str">
        <f>IF('Pollas Fase de Grupos'!BF18&gt;'Pollas Fase de Grupos'!BG18,'Pollas Fase de Grupos'!$BF$2,IF('Pollas Fase de Grupos'!BG18&gt;'Pollas Fase de Grupos'!BF18,'Pollas Fase de Grupos'!$BG$2,"EMPATE"))</f>
        <v>Japon</v>
      </c>
      <c r="BE18" s="85">
        <f>PUNTAJE_GANADORES('Pollas Fase de Grupos'!BF18,'Resultados Oficiales Fase de Gr'!$D$38,'Pollas Fase de Grupos'!BG18,'Resultados Oficiales Fase de Gr'!$E$38,BD18,'Resultados Oficiales Fase de Gr'!$G$38)</f>
        <v>0</v>
      </c>
      <c r="BF18" s="85" t="str">
        <f>IF('Pollas Fase de Grupos'!BH18&gt;'Pollas Fase de Grupos'!BI18,'Pollas Fase de Grupos'!$BH$2,IF('Pollas Fase de Grupos'!BI18&gt;'Pollas Fase de Grupos'!BH18,'Pollas Fase de Grupos'!$BI$2,"EMPATE"))</f>
        <v>España</v>
      </c>
      <c r="BG18" s="85">
        <f>PUNTAJE_GANADORES('Pollas Fase de Grupos'!BH18,'Resultados Oficiales Fase de Gr'!$D$39,'Pollas Fase de Grupos'!BI18,'Resultados Oficiales Fase de Gr'!$E$39,BF18,'Resultados Oficiales Fase de Gr'!$G$39)</f>
        <v>0</v>
      </c>
      <c r="BH18" s="85" t="str">
        <f>IF('Pollas Fase de Grupos'!BJ18&gt;'Pollas Fase de Grupos'!BK18,'Pollas Fase de Grupos'!$BJ$2,IF('Pollas Fase de Grupos'!BK18&gt;'Pollas Fase de Grupos'!BJ18,'Pollas Fase de Grupos'!$BK$2,"EMPATE"))</f>
        <v>Alemania</v>
      </c>
      <c r="BI18" s="85">
        <f>PUNTAJE_GANADORES('Pollas Fase de Grupos'!BJ18,'Resultados Oficiales Fase de Gr'!$D$40,'Pollas Fase de Grupos'!BK18,'Resultados Oficiales Fase de Gr'!$E$40,BH18,'Resultados Oficiales Fase de Gr'!$G$40)</f>
        <v>2</v>
      </c>
      <c r="BJ18" s="85" t="str">
        <f>IF('Pollas Fase de Grupos'!BL18&gt;'Pollas Fase de Grupos'!BM18,'Pollas Fase de Grupos'!$BL$2,IF('Pollas Fase de Grupos'!BM18&gt;'Pollas Fase de Grupos'!BL18,'Pollas Fase de Grupos'!$BM$2,"EMPATE"))</f>
        <v>Belgica</v>
      </c>
      <c r="BK18" s="85">
        <f>PUNTAJE_GANADORES('Pollas Fase de Grupos'!BL18,'Resultados Oficiales Fase de Gr'!$D$43,'Pollas Fase de Grupos'!BM18,'Resultados Oficiales Fase de Gr'!$E$43,BJ18,'Resultados Oficiales Fase de Gr'!$G$43)</f>
        <v>5</v>
      </c>
      <c r="BL18" s="85" t="str">
        <f>IF('Pollas Fase de Grupos'!BN18&gt;'Pollas Fase de Grupos'!BO18,'Pollas Fase de Grupos'!$BN$2,IF('Pollas Fase de Grupos'!BO18&gt;'Pollas Fase de Grupos'!BN18,'Pollas Fase de Grupos'!$BO$2,"EMPATE"))</f>
        <v>Croacia</v>
      </c>
      <c r="BM18" s="85">
        <f>PUNTAJE_GANADORES('Pollas Fase de Grupos'!BN18,'Resultados Oficiales Fase de Gr'!$D$44,'Pollas Fase de Grupos'!BO18,'Resultados Oficiales Fase de Gr'!$E$44,BL18,'Resultados Oficiales Fase de Gr'!$G$44)</f>
        <v>0</v>
      </c>
      <c r="BN18" s="85" t="str">
        <f>IF('Pollas Fase de Grupos'!BP18&gt;'Pollas Fase de Grupos'!BQ18,'Pollas Fase de Grupos'!$BP$2,IF('Pollas Fase de Grupos'!BQ18&gt;'Pollas Fase de Grupos'!BP18,'Pollas Fase de Grupos'!$BQ$2,"EMPATE"))</f>
        <v>Belgica</v>
      </c>
      <c r="BO18" s="85">
        <f>PUNTAJE_GANADORES('Pollas Fase de Grupos'!BP18,'Resultados Oficiales Fase de Gr'!$D$45,'Pollas Fase de Grupos'!BQ18,'Resultados Oficiales Fase de Gr'!$E$45,BN18,'Resultados Oficiales Fase de Gr'!$G$45)</f>
        <v>0</v>
      </c>
      <c r="BP18" s="85" t="str">
        <f>IF('Pollas Fase de Grupos'!BR18&gt;'Pollas Fase de Grupos'!BS18,'Pollas Fase de Grupos'!$BR$2,IF('Pollas Fase de Grupos'!BS18&gt;'Pollas Fase de Grupos'!BR18,'Pollas Fase de Grupos'!$BS$2,"EMPATE"))</f>
        <v>Croacia</v>
      </c>
      <c r="BQ18" s="85">
        <f>PUNTAJE_GANADORES('Pollas Fase de Grupos'!BR18,'Resultados Oficiales Fase de Gr'!$D$46,'Pollas Fase de Grupos'!BS18,'Resultados Oficiales Fase de Gr'!$E$46,BP18,'Resultados Oficiales Fase de Gr'!$G$46)</f>
        <v>3</v>
      </c>
      <c r="BR18" s="85" t="str">
        <f>IF('Pollas Fase de Grupos'!BT18&gt;'Pollas Fase de Grupos'!BU18,'Pollas Fase de Grupos'!$BT$2,IF('Pollas Fase de Grupos'!BU18&gt;'Pollas Fase de Grupos'!BT18,'Pollas Fase de Grupos'!$BU$2,"EMPATE"))</f>
        <v>EMPATE</v>
      </c>
      <c r="BS18" s="85">
        <f>PUNTAJE_GANADORES('Pollas Fase de Grupos'!BT18,'Resultados Oficiales Fase de Gr'!$D$47,'Pollas Fase de Grupos'!BU18,'Resultados Oficiales Fase de Gr'!$E$47,BR18,'Resultados Oficiales Fase de Gr'!$G$47)</f>
        <v>1</v>
      </c>
      <c r="BT18" s="85" t="str">
        <f>IF('Pollas Fase de Grupos'!BV18&gt;'Pollas Fase de Grupos'!BW18,'Pollas Fase de Grupos'!$BV$2,IF('Pollas Fase de Grupos'!BW18&gt;'Pollas Fase de Grupos'!BV18,'Pollas Fase de Grupos'!$BW$2,"EMPATE"))</f>
        <v>Canada</v>
      </c>
      <c r="BU18" s="85">
        <f>PUNTAJE_GANADORES('Pollas Fase de Grupos'!BV18,'Resultados Oficiales Fase de Gr'!$D$48,'Pollas Fase de Grupos'!BW18,'Resultados Oficiales Fase de Gr'!$E$48,BT18,'Resultados Oficiales Fase de Gr'!$G$48)</f>
        <v>1</v>
      </c>
      <c r="BV18" s="85" t="str">
        <f>IF('Pollas Fase de Grupos'!BX18&gt;'Pollas Fase de Grupos'!BY18,'Pollas Fase de Grupos'!$BX$2,IF('Pollas Fase de Grupos'!BY18&gt;'Pollas Fase de Grupos'!BX18,'Pollas Fase de Grupos'!$BY$2,"EMPATE"))</f>
        <v>Brasil</v>
      </c>
      <c r="BW18" s="85">
        <f>PUNTAJE_GANADORES('Pollas Fase de Grupos'!BX18,'Resultados Oficiales Fase de Gr'!$D$51,'Pollas Fase de Grupos'!BY18,'Resultados Oficiales Fase de Gr'!$E$51,BV18,'Resultados Oficiales Fase de Gr'!$G$51)</f>
        <v>2</v>
      </c>
      <c r="BX18" s="85" t="str">
        <f>IF('Pollas Fase de Grupos'!BZ18&gt;'Pollas Fase de Grupos'!CA18,'Pollas Fase de Grupos'!$BZ$2,IF('Pollas Fase de Grupos'!CA18&gt;'Pollas Fase de Grupos'!BZ18,'Pollas Fase de Grupos'!$CA$2,"EMPATE"))</f>
        <v>Camerun</v>
      </c>
      <c r="BY18" s="85">
        <f>PUNTAJE_GANADORES('Pollas Fase de Grupos'!BZ18,'Resultados Oficiales Fase de Gr'!$D$52,'Pollas Fase de Grupos'!CA18,'Resultados Oficiales Fase de Gr'!$E$52,BX18,'Resultados Oficiales Fase de Gr'!$G$52)</f>
        <v>0</v>
      </c>
      <c r="BZ18" s="85" t="str">
        <f>IF('Pollas Fase de Grupos'!CB18&gt;'Pollas Fase de Grupos'!CC18,'Pollas Fase de Grupos'!$CB$2,IF('Pollas Fase de Grupos'!CC18&gt;'Pollas Fase de Grupos'!CB18,'Pollas Fase de Grupos'!$CC$2,"EMPATE"))</f>
        <v>Brasil</v>
      </c>
      <c r="CA18" s="85">
        <f>PUNTAJE_GANADORES('Pollas Fase de Grupos'!CB18,'Resultados Oficiales Fase de Gr'!$D$53,'Pollas Fase de Grupos'!CC18,'Resultados Oficiales Fase de Gr'!$E$53,BZ18,'Resultados Oficiales Fase de Gr'!$G$53)</f>
        <v>3</v>
      </c>
      <c r="CB18" s="85" t="str">
        <f>IF('Pollas Fase de Grupos'!CD18&gt;'Pollas Fase de Grupos'!CE18,'Pollas Fase de Grupos'!$CD$2,IF('Pollas Fase de Grupos'!CE18&gt;'Pollas Fase de Grupos'!CD18,'Pollas Fase de Grupos'!$CE$2,"EMPATE"))</f>
        <v>Camerun</v>
      </c>
      <c r="CC18" s="85">
        <f>PUNTAJE_GANADORES('Pollas Fase de Grupos'!CD18,'Resultados Oficiales Fase de Gr'!$D$54,'Pollas Fase de Grupos'!CE18,'Resultados Oficiales Fase de Gr'!$E$54,CB18,'Resultados Oficiales Fase de Gr'!$G$54)</f>
        <v>0</v>
      </c>
      <c r="CD18" s="85" t="str">
        <f>IF('Pollas Fase de Grupos'!CF18&gt;'Pollas Fase de Grupos'!CG18,'Pollas Fase de Grupos'!$CF$2,IF('Pollas Fase de Grupos'!CG18&gt;'Pollas Fase de Grupos'!CF18,'Pollas Fase de Grupos'!$CG$2,"EMPATE"))</f>
        <v>Brasil</v>
      </c>
      <c r="CE18" s="85">
        <f>PUNTAJE_GANADORES('Pollas Fase de Grupos'!CF18,'Resultados Oficiales Fase de Gr'!$D$55,'Pollas Fase de Grupos'!CG18,'Resultados Oficiales Fase de Gr'!$E$55,CD18,'Resultados Oficiales Fase de Gr'!$G$55)</f>
        <v>0</v>
      </c>
      <c r="CF18" s="85" t="str">
        <f>IF('Pollas Fase de Grupos'!CH18&gt;'Pollas Fase de Grupos'!CI18,'Pollas Fase de Grupos'!$CH$2,IF('Pollas Fase de Grupos'!CI18&gt;'Pollas Fase de Grupos'!CH18,'Pollas Fase de Grupos'!$CI$2,"EMPATE"))</f>
        <v>Serbia</v>
      </c>
      <c r="CG18" s="85">
        <f>PUNTAJE_GANADORES('Pollas Fase de Grupos'!CH18,'Resultados Oficiales Fase de Gr'!$D$56,'Pollas Fase de Grupos'!CI18,'Resultados Oficiales Fase de Gr'!$E$56,CF18,'Resultados Oficiales Fase de Gr'!$G$56)</f>
        <v>0</v>
      </c>
      <c r="CH18" s="85" t="str">
        <f>IF('Pollas Fase de Grupos'!CJ18&gt;'Pollas Fase de Grupos'!CK18,'Pollas Fase de Grupos'!$CJ$2,IF('Pollas Fase de Grupos'!CK18&gt;'Pollas Fase de Grupos'!CJ18,'Pollas Fase de Grupos'!$CK$2,"EMPATE"))</f>
        <v>Portugal</v>
      </c>
      <c r="CI18" s="85">
        <f>PUNTAJE_GANADORES('Pollas Fase de Grupos'!CJ18,'Resultados Oficiales Fase de Gr'!$D$59,'Pollas Fase de Grupos'!CK18,'Resultados Oficiales Fase de Gr'!$E$59,CH18,'Resultados Oficiales Fase de Gr'!$G$59)</f>
        <v>2</v>
      </c>
      <c r="CJ18" s="85" t="str">
        <f>IF('Pollas Fase de Grupos'!CL18&gt;'Pollas Fase de Grupos'!CM18,'Pollas Fase de Grupos'!$CL$2,IF('Pollas Fase de Grupos'!CM18&gt;'Pollas Fase de Grupos'!CL18,'Pollas Fase de Grupos'!$CM$2,"EMPATE"))</f>
        <v>Uruguay</v>
      </c>
      <c r="CK18" s="85">
        <f>PUNTAJE_GANADORES('Pollas Fase de Grupos'!CL18,'Resultados Oficiales Fase de Gr'!$D$60,'Pollas Fase de Grupos'!CM18,'Resultados Oficiales Fase de Gr'!$E$60,CJ18,'Resultados Oficiales Fase de Gr'!$G$60)</f>
        <v>0</v>
      </c>
      <c r="CL18" s="85" t="str">
        <f>IF('Pollas Fase de Grupos'!CN18&gt;'Pollas Fase de Grupos'!CO18,'Pollas Fase de Grupos'!$CN$2,IF('Pollas Fase de Grupos'!CO18&gt;'Pollas Fase de Grupos'!CN18,'Pollas Fase de Grupos'!$CO$2,"EMPATE"))</f>
        <v>Portugal</v>
      </c>
      <c r="CM18" s="85">
        <f>PUNTAJE_GANADORES('Pollas Fase de Grupos'!CN18,'Resultados Oficiales Fase de Gr'!$D$61,'Pollas Fase de Grupos'!CO18,'Resultados Oficiales Fase de Gr'!$E$61,CL18,'Resultados Oficiales Fase de Gr'!$G$61)</f>
        <v>3</v>
      </c>
      <c r="CN18" s="85" t="str">
        <f>IF('Pollas Fase de Grupos'!CP18&gt;'Pollas Fase de Grupos'!CQ18,'Pollas Fase de Grupos'!$CP$2,IF('Pollas Fase de Grupos'!CQ18&gt;'Pollas Fase de Grupos'!CP18,'Pollas Fase de Grupos'!$CQ$2,"EMPATE"))</f>
        <v>Corea del Sur</v>
      </c>
      <c r="CO18" s="85">
        <f>PUNTAJE_GANADORES('Pollas Fase de Grupos'!CP18,'Resultados Oficiales Fase de Gr'!$D$62,'Pollas Fase de Grupos'!CQ18,'Resultados Oficiales Fase de Gr'!$E$62,CN18,'Resultados Oficiales Fase de Gr'!$G$62)</f>
        <v>1</v>
      </c>
      <c r="CP18" s="85" t="str">
        <f>IF('Pollas Fase de Grupos'!CR18&gt;'Pollas Fase de Grupos'!CS18,'Pollas Fase de Grupos'!$CR$2,IF('Pollas Fase de Grupos'!CS18&gt;'Pollas Fase de Grupos'!CR18,'Pollas Fase de Grupos'!$CS$2,"EMPATE"))</f>
        <v>Portugal</v>
      </c>
      <c r="CQ18" s="85">
        <f>PUNTAJE_GANADORES('Pollas Fase de Grupos'!CR18,'Resultados Oficiales Fase de Gr'!$D$63,'Pollas Fase de Grupos'!CS18,'Resultados Oficiales Fase de Gr'!$E$63,CP18,'Resultados Oficiales Fase de Gr'!$G$63)</f>
        <v>0</v>
      </c>
      <c r="CR18" s="85" t="str">
        <f>IF('Pollas Fase de Grupos'!CT18&gt;'Pollas Fase de Grupos'!CU18,'Pollas Fase de Grupos'!$CT$2,IF('Pollas Fase de Grupos'!CU18&gt;'Pollas Fase de Grupos'!CT18,'Pollas Fase de Grupos'!$CU$2,"EMPATE"))</f>
        <v>Uruguay</v>
      </c>
      <c r="CS18" s="85">
        <f>PUNTAJE_GANADORES('Pollas Fase de Grupos'!CT18,'Resultados Oficiales Fase de Gr'!$D$64,'Pollas Fase de Grupos'!CU18,'Resultados Oficiales Fase de Gr'!$E$64,CR18,'Resultados Oficiales Fase de Gr'!$G$64)</f>
        <v>5</v>
      </c>
      <c r="CT18" s="4">
        <f t="shared" si="1"/>
        <v>68</v>
      </c>
      <c r="CU18" s="17">
        <v>47.0</v>
      </c>
      <c r="CV18" s="3">
        <f t="shared" si="2"/>
        <v>71</v>
      </c>
    </row>
    <row r="19">
      <c r="A19" s="3" t="str">
        <f>'Pollas Fase de Grupos'!CV19</f>
        <v>Los Betancruz</v>
      </c>
      <c r="B19" s="4" t="str">
        <f>IF('Pollas Fase de Grupos'!D19&gt;'Pollas Fase de Grupos'!E19,'Pollas Fase de Grupos'!$D$2,IF('Pollas Fase de Grupos'!E19&gt;'Pollas Fase de Grupos'!D19,'Pollas Fase de Grupos'!$E$2,"EMPATE"))</f>
        <v>Ecuador</v>
      </c>
      <c r="C19" s="4">
        <f>PUNTAJE_GANADORES('Pollas Fase de Grupos'!D19,'Resultados Oficiales Fase de Gr'!$D$3,'Pollas Fase de Grupos'!E19,'Resultados Oficiales Fase de Gr'!$E$3,B19,'Resultados Oficiales Fase de Gr'!$G$3)</f>
        <v>5</v>
      </c>
      <c r="D19" s="85" t="str">
        <f>IF('Pollas Fase de Grupos'!F19&gt;'Pollas Fase de Grupos'!G19,'Pollas Fase de Grupos'!$F$2,IF('Pollas Fase de Grupos'!G19&gt;'Pollas Fase de Grupos'!F19,'Pollas Fase de Grupos'!$G$2,"EMPATE"))</f>
        <v>Paises Bajos</v>
      </c>
      <c r="E19" s="4">
        <f>PUNTAJE_GANADORES('Pollas Fase de Grupos'!F19,'Resultados Oficiales Fase de Gr'!$D$4,'Pollas Fase de Grupos'!G19,'Resultados Oficiales Fase de Gr'!$E$4,D19,'Resultados Oficiales Fase de Gr'!$G$4)</f>
        <v>2</v>
      </c>
      <c r="F19" s="85" t="str">
        <f>IF('Pollas Fase de Grupos'!H19&gt;'Pollas Fase de Grupos'!I19,'Pollas Fase de Grupos'!$H$2,IF('Pollas Fase de Grupos'!I19&gt;'Pollas Fase de Grupos'!H19,'Pollas Fase de Grupos'!$I$2,"EMPATE"))</f>
        <v>Senegal</v>
      </c>
      <c r="G19" s="4">
        <f>PUNTAJE_GANADORES('Pollas Fase de Grupos'!H19,'Resultados Oficiales Fase de Gr'!$D$5,'Pollas Fase de Grupos'!I19,'Resultados Oficiales Fase de Gr'!$E$5,F19,'Resultados Oficiales Fase de Gr'!$G$5)</f>
        <v>3</v>
      </c>
      <c r="H19" s="85" t="str">
        <f>IF('Pollas Fase de Grupos'!J19&gt;'Pollas Fase de Grupos'!K19,'Pollas Fase de Grupos'!$J$2,IF('Pollas Fase de Grupos'!K19&gt;'Pollas Fase de Grupos'!J19,'Pollas Fase de Grupos'!$K$2,"EMPATE"))</f>
        <v>EMPATE</v>
      </c>
      <c r="I19" s="4">
        <f>PUNTAJE_GANADORES('Pollas Fase de Grupos'!J19,'Resultados Oficiales Fase de Gr'!$D$6,'Pollas Fase de Grupos'!K19,'Resultados Oficiales Fase de Gr'!$E$6,H19,'Resultados Oficiales Fase de Gr'!$G$6)</f>
        <v>1</v>
      </c>
      <c r="J19" s="85" t="str">
        <f>IF('Pollas Fase de Grupos'!L19&gt;'Pollas Fase de Grupos'!M19,'Pollas Fase de Grupos'!$L$2,IF('Pollas Fase de Grupos'!M19&gt;'Pollas Fase de Grupos'!L19,'Pollas Fase de Grupos'!$M$2,"EMPATE"))</f>
        <v>EMPATE</v>
      </c>
      <c r="K19" s="4">
        <f>PUNTAJE_GANADORES('Pollas Fase de Grupos'!L19,'Resultados Oficiales Fase de Gr'!$D$7,'Pollas Fase de Grupos'!M19,'Resultados Oficiales Fase de Gr'!$E$7,J19,'Resultados Oficiales Fase de Gr'!$G$7)</f>
        <v>0</v>
      </c>
      <c r="L19" s="85" t="str">
        <f>IF('Pollas Fase de Grupos'!N19&gt;'Pollas Fase de Grupos'!O19,'Pollas Fase de Grupos'!$N$2,IF('Pollas Fase de Grupos'!O19&gt;'Pollas Fase de Grupos'!N19,'Pollas Fase de Grupos'!$O$2,"EMPATE"))</f>
        <v>Ecuador</v>
      </c>
      <c r="M19" s="85">
        <f>PUNTAJE_GANADORES('Pollas Fase de Grupos'!N19,'Resultados Oficiales Fase de Gr'!$D$8,'Pollas Fase de Grupos'!O19,'Resultados Oficiales Fase de Gr'!$E$8,L19,'Resultados Oficiales Fase de Gr'!$G$8)</f>
        <v>0</v>
      </c>
      <c r="N19" s="85" t="str">
        <f>IF('Pollas Fase de Grupos'!P19&gt;'Pollas Fase de Grupos'!Q19,'Pollas Fase de Grupos'!$P$2,IF('Pollas Fase de Grupos'!Q19&gt;'Pollas Fase de Grupos'!P19,'Pollas Fase de Grupos'!$Q$2,"EMPATE"))</f>
        <v>Inglaterra</v>
      </c>
      <c r="O19" s="85">
        <f>PUNTAJE_GANADORES('Pollas Fase de Grupos'!P19,'Resultados Oficiales Fase de Gr'!$D$11,'Pollas Fase de Grupos'!Q19,'Resultados Oficiales Fase de Gr'!$E$11,N19,'Resultados Oficiales Fase de Gr'!$G$11)</f>
        <v>2</v>
      </c>
      <c r="P19" s="4" t="str">
        <f>IF('Pollas Fase de Grupos'!R19&gt;'Pollas Fase de Grupos'!S19,'Pollas Fase de Grupos'!$R$2,IF('Pollas Fase de Grupos'!S19&gt;'Pollas Fase de Grupos'!R19,'Pollas Fase de Grupos'!$S$2,"EMPATE"))</f>
        <v>Estados Unidos</v>
      </c>
      <c r="Q19" s="85">
        <f>PUNTAJE_GANADORES('Pollas Fase de Grupos'!R19,'Resultados Oficiales Fase de Gr'!$D$12,'Pollas Fase de Grupos'!S19,'Resultados Oficiales Fase de Gr'!$E$12,P19,'Resultados Oficiales Fase de Gr'!$G$12)</f>
        <v>1</v>
      </c>
      <c r="R19" s="85" t="str">
        <f>IF('Pollas Fase de Grupos'!T19&gt;'Pollas Fase de Grupos'!U19,'Pollas Fase de Grupos'!$T$2,IF('Pollas Fase de Grupos'!U19&gt;'Pollas Fase de Grupos'!T19,'Pollas Fase de Grupos'!$U$2,"EMPATE"))</f>
        <v>Inglaterra</v>
      </c>
      <c r="S19" s="4">
        <f>PUNTAJE_GANADORES('Pollas Fase de Grupos'!T19,'Resultados Oficiales Fase de Gr'!$D$13,'Pollas Fase de Grupos'!U19,'Resultados Oficiales Fase de Gr'!$E$13,R19,'Resultados Oficiales Fase de Gr'!$G$13)</f>
        <v>1</v>
      </c>
      <c r="T19" s="85" t="str">
        <f>IF('Pollas Fase de Grupos'!V19&gt;'Pollas Fase de Grupos'!W19,'Pollas Fase de Grupos'!$V$2,IF('Pollas Fase de Grupos'!W19&gt;'Pollas Fase de Grupos'!V19,'Pollas Fase de Grupos'!$W$2,"EMPATE"))</f>
        <v>EMPATE</v>
      </c>
      <c r="U19" s="86">
        <f>PUNTAJE_GANADORES('Pollas Fase de Grupos'!V19,'Resultados Oficiales Fase de Gr'!$D$14,'Pollas Fase de Grupos'!W19,'Resultados Oficiales Fase de Gr'!$E$14,T19,'Resultados Oficiales Fase de Gr'!$G$14)</f>
        <v>0</v>
      </c>
      <c r="V19" s="85" t="str">
        <f>IF('Pollas Fase de Grupos'!X19&gt;'Pollas Fase de Grupos'!Y19,'Pollas Fase de Grupos'!$X$2,IF('Pollas Fase de Grupos'!Y19&gt;'Pollas Fase de Grupos'!X19,'Pollas Fase de Grupos'!$Y$2,"EMPATE"))</f>
        <v>Inglaterra</v>
      </c>
      <c r="W19" s="85">
        <f>PUNTAJE_GANADORES('Pollas Fase de Grupos'!X19,'Resultados Oficiales Fase de Gr'!$D$15,'Pollas Fase de Grupos'!Y19,'Resultados Oficiales Fase de Gr'!$E$15,V19,'Resultados Oficiales Fase de Gr'!$G$15)</f>
        <v>3</v>
      </c>
      <c r="X19" s="85" t="str">
        <f>IF('Pollas Fase de Grupos'!Z19&gt;'Pollas Fase de Grupos'!AA19,'Pollas Fase de Grupos'!$Z$2,IF('Pollas Fase de Grupos'!AA19&gt;'Pollas Fase de Grupos'!Z19,'Pollas Fase de Grupos'!$AA$2,"EMPATE"))</f>
        <v>EMPATE</v>
      </c>
      <c r="Y19" s="87">
        <f>PUNTAJE_GANADORES('Pollas Fase de Grupos'!Z19,'Resultados Oficiales Fase de Gr'!$D$16,'Pollas Fase de Grupos'!AA19,'Resultados Oficiales Fase de Gr'!$E$16,X19,'Resultados Oficiales Fase de Gr'!$G$16)</f>
        <v>1</v>
      </c>
      <c r="Z19" s="85" t="str">
        <f>IF('Pollas Fase de Grupos'!AB19&gt;'Pollas Fase de Grupos'!AC19,'Pollas Fase de Grupos'!$AB$2,IF('Pollas Fase de Grupos'!AC19&gt;'Pollas Fase de Grupos'!AB19,'Pollas Fase de Grupos'!$AC$2,"EMPATE"))</f>
        <v>Argentina</v>
      </c>
      <c r="AA19" s="85">
        <f>PUNTAJE_GANADORES('Pollas Fase de Grupos'!AB19,'Resultados Oficiales Fase de Gr'!$D$19,'Pollas Fase de Grupos'!AC19,'Resultados Oficiales Fase de Gr'!$E$19,Z19,'Resultados Oficiales Fase de Gr'!$G$19)</f>
        <v>0</v>
      </c>
      <c r="AB19" s="85" t="str">
        <f>IF('Pollas Fase de Grupos'!AD19&gt;'Pollas Fase de Grupos'!AE19,'Pollas Fase de Grupos'!$AD$2,IF('Pollas Fase de Grupos'!AE19&gt;'Pollas Fase de Grupos'!AD19,'Pollas Fase de Grupos'!$AE$2,"EMPATE"))</f>
        <v>Polonia</v>
      </c>
      <c r="AC19" s="85">
        <f>PUNTAJE_GANADORES('Pollas Fase de Grupos'!AD19,'Resultados Oficiales Fase de Gr'!$D$20,'Pollas Fase de Grupos'!AE19,'Resultados Oficiales Fase de Gr'!$E$20,AB19,'Resultados Oficiales Fase de Gr'!$G$20)</f>
        <v>0</v>
      </c>
      <c r="AD19" s="85" t="str">
        <f>IF('Pollas Fase de Grupos'!AF19&gt;'Pollas Fase de Grupos'!AG19,'Pollas Fase de Grupos'!$AF$2,IF('Pollas Fase de Grupos'!AG19&gt;'Pollas Fase de Grupos'!AF19,'Pollas Fase de Grupos'!$AG$2,"EMPATE"))</f>
        <v>Argentina</v>
      </c>
      <c r="AE19" s="85">
        <f>PUNTAJE_GANADORES('Pollas Fase de Grupos'!AF19,'Resultados Oficiales Fase de Gr'!$D$21,'Pollas Fase de Grupos'!AG19,'Resultados Oficiales Fase de Gr'!$E$21,AD19,'Resultados Oficiales Fase de Gr'!$G$21)</f>
        <v>2</v>
      </c>
      <c r="AF19" s="85" t="str">
        <f>IF('Pollas Fase de Grupos'!AH19&gt;'Pollas Fase de Grupos'!AI19,'Pollas Fase de Grupos'!$AH$2,IF('Pollas Fase de Grupos'!AI19&gt;'Pollas Fase de Grupos'!AH19,'Pollas Fase de Grupos'!$AI$2,"EMPATE"))</f>
        <v>Polonia</v>
      </c>
      <c r="AG19" s="85">
        <f>PUNTAJE_GANADORES('Pollas Fase de Grupos'!AH19,'Resultados Oficiales Fase de Gr'!$D$22,'Pollas Fase de Grupos'!AI19,'Resultados Oficiales Fase de Gr'!$E$22,AF19,'Resultados Oficiales Fase de Gr'!$G$22)</f>
        <v>3</v>
      </c>
      <c r="AH19" s="85" t="str">
        <f>IF('Pollas Fase de Grupos'!AJ19&gt;'Pollas Fase de Grupos'!AK19,'Pollas Fase de Grupos'!$AJ$2,IF('Pollas Fase de Grupos'!AK19&gt;'Pollas Fase de Grupos'!AJ19,'Pollas Fase de Grupos'!$AK$2,"EMPATE"))</f>
        <v>Argentina</v>
      </c>
      <c r="AI19" s="85">
        <f>PUNTAJE_GANADORES('Pollas Fase de Grupos'!AJ19,'Resultados Oficiales Fase de Gr'!$D$23,'Pollas Fase de Grupos'!AK19,'Resultados Oficiales Fase de Gr'!$E$23,AH19,'Resultados Oficiales Fase de Gr'!$G$23)</f>
        <v>3</v>
      </c>
      <c r="AJ19" s="85" t="str">
        <f>IF('Pollas Fase de Grupos'!AL19&gt;'Pollas Fase de Grupos'!AM19,'Pollas Fase de Grupos'!$AL$2,IF('Pollas Fase de Grupos'!AM19&gt;'Pollas Fase de Grupos'!AL19,'Pollas Fase de Grupos'!$AM$2,"EMPATE"))</f>
        <v>Mexico</v>
      </c>
      <c r="AK19" s="85">
        <f>PUNTAJE_GANADORES('Pollas Fase de Grupos'!AL19,'Resultados Oficiales Fase de Gr'!$D$24,'Pollas Fase de Grupos'!AM19,'Resultados Oficiales Fase de Gr'!$E$24,AJ19,'Resultados Oficiales Fase de Gr'!$G$24)</f>
        <v>5</v>
      </c>
      <c r="AL19" s="85" t="str">
        <f>IF('Pollas Fase de Grupos'!AN19&gt;'Pollas Fase de Grupos'!AO19,'Pollas Fase de Grupos'!$AN$2,IF('Pollas Fase de Grupos'!AO19&gt;'Pollas Fase de Grupos'!AN19,'Pollas Fase de Grupos'!$AO$2,"EMPATE"))</f>
        <v>Francia</v>
      </c>
      <c r="AM19" s="85">
        <f>PUNTAJE_GANADORES('Pollas Fase de Grupos'!AN19,'Resultados Oficiales Fase de Gr'!$D$27,'Pollas Fase de Grupos'!AO19,'Resultados Oficiales Fase de Gr'!$E$27,AL19,'Resultados Oficiales Fase de Gr'!$G$27)</f>
        <v>3</v>
      </c>
      <c r="AN19" s="85" t="str">
        <f>IF('Pollas Fase de Grupos'!AP19&gt;'Pollas Fase de Grupos'!AQ19,'Pollas Fase de Grupos'!$AP$2,IF('Pollas Fase de Grupos'!AQ19&gt;'Pollas Fase de Grupos'!AP19,'Pollas Fase de Grupos'!$AQ$2,"EMPATE"))</f>
        <v>Dinamarca</v>
      </c>
      <c r="AO19" s="85">
        <f>PUNTAJE_GANADORES('Pollas Fase de Grupos'!AP19,'Resultados Oficiales Fase de Gr'!$D$28,'Pollas Fase de Grupos'!AQ19,'Resultados Oficiales Fase de Gr'!$E$28,AN19,'Resultados Oficiales Fase de Gr'!$G$28)</f>
        <v>0</v>
      </c>
      <c r="AP19" s="85" t="str">
        <f>IF('Pollas Fase de Grupos'!AR19&gt;'Pollas Fase de Grupos'!AS19,'Pollas Fase de Grupos'!$AR$2,IF('Pollas Fase de Grupos'!AS19&gt;'Pollas Fase de Grupos'!AR19,'Pollas Fase de Grupos'!$AS$2,"EMPATE"))</f>
        <v>Francia</v>
      </c>
      <c r="AQ19" s="85">
        <f>PUNTAJE_GANADORES('Pollas Fase de Grupos'!AR19,'Resultados Oficiales Fase de Gr'!$D$29,'Pollas Fase de Grupos'!AS19,'Resultados Oficiales Fase de Gr'!$E$29,AP19,'Resultados Oficiales Fase de Gr'!$G$29)</f>
        <v>2</v>
      </c>
      <c r="AR19" s="85" t="str">
        <f>IF('Pollas Fase de Grupos'!AT19&gt;'Pollas Fase de Grupos'!AU19,'Pollas Fase de Grupos'!$AT$2,IF('Pollas Fase de Grupos'!AU19&gt;'Pollas Fase de Grupos'!AT19,'Pollas Fase de Grupos'!$AU$2,"EMPATE"))</f>
        <v>Tunez</v>
      </c>
      <c r="AS19" s="85">
        <f>PUNTAJE_GANADORES('Pollas Fase de Grupos'!AT19,'Resultados Oficiales Fase de Gr'!$D$30,'Pollas Fase de Grupos'!AU19,'Resultados Oficiales Fase de Gr'!$E$30,AR19,'Resultados Oficiales Fase de Gr'!$G$30)</f>
        <v>0</v>
      </c>
      <c r="AT19" s="85" t="str">
        <f>IF('Pollas Fase de Grupos'!AV19&gt;'Pollas Fase de Grupos'!AW19,'Pollas Fase de Grupos'!$AV$2,IF('Pollas Fase de Grupos'!AW19&gt;'Pollas Fase de Grupos'!AV19,'Pollas Fase de Grupos'!$AW$2,"EMPATE"))</f>
        <v>Francia</v>
      </c>
      <c r="AU19" s="85">
        <f>PUNTAJE_GANADORES('Pollas Fase de Grupos'!AV19,'Resultados Oficiales Fase de Gr'!$D$31,'Pollas Fase de Grupos'!AW19,'Resultados Oficiales Fase de Gr'!$E$31,AT19,'Resultados Oficiales Fase de Gr'!$G$31)</f>
        <v>0</v>
      </c>
      <c r="AV19" s="85" t="str">
        <f>IF('Pollas Fase de Grupos'!AX19&gt;'Pollas Fase de Grupos'!AY19,'Pollas Fase de Grupos'!$AX$2,IF('Pollas Fase de Grupos'!AY19&gt;'Pollas Fase de Grupos'!AX19,'Pollas Fase de Grupos'!$AY$2,"EMPATE"))</f>
        <v>EMPATE</v>
      </c>
      <c r="AW19" s="85">
        <f>PUNTAJE_GANADORES('Pollas Fase de Grupos'!AX19,'Resultados Oficiales Fase de Gr'!$D$32,'Pollas Fase de Grupos'!AY19,'Resultados Oficiales Fase de Gr'!$E$32,AV19,'Resultados Oficiales Fase de Gr'!$G$32)</f>
        <v>0</v>
      </c>
      <c r="AX19" s="85" t="str">
        <f>IF('Pollas Fase de Grupos'!AZ19&gt;'Pollas Fase de Grupos'!BA19,'Pollas Fase de Grupos'!$AZ$2,IF('Pollas Fase de Grupos'!BA19&gt;'Pollas Fase de Grupos'!AZ19,'Pollas Fase de Grupos'!$BA$2,"EMPATE"))</f>
        <v>España</v>
      </c>
      <c r="AY19" s="85">
        <f>PUNTAJE_GANADORES('Pollas Fase de Grupos'!AZ19,'Resultados Oficiales Fase de Gr'!$D$35,'Pollas Fase de Grupos'!BA19,'Resultados Oficiales Fase de Gr'!$E$35,AX19,'Resultados Oficiales Fase de Gr'!$G$35)</f>
        <v>0</v>
      </c>
      <c r="AZ19" s="85" t="str">
        <f>IF('Pollas Fase de Grupos'!BB19&gt;'Pollas Fase de Grupos'!BC19,'Pollas Fase de Grupos'!$BB$2,IF('Pollas Fase de Grupos'!BC19&gt;'Pollas Fase de Grupos'!BB19,'Pollas Fase de Grupos'!$BC$2,"EMPATE"))</f>
        <v>Alemania</v>
      </c>
      <c r="BA19" s="85">
        <f>PUNTAJE_GANADORES('Pollas Fase de Grupos'!BB19,'Resultados Oficiales Fase de Gr'!$D$36,'Pollas Fase de Grupos'!BC19,'Resultados Oficiales Fase de Gr'!$E$36,AZ19,'Resultados Oficiales Fase de Gr'!$G$36)</f>
        <v>0</v>
      </c>
      <c r="BB19" s="85" t="str">
        <f>IF('Pollas Fase de Grupos'!BD19&gt;'Pollas Fase de Grupos'!BE19,'Pollas Fase de Grupos'!$BD$2,IF('Pollas Fase de Grupos'!BE19&gt;'Pollas Fase de Grupos'!BD19,'Pollas Fase de Grupos'!$BE$2,"EMPATE"))</f>
        <v>EMPATE</v>
      </c>
      <c r="BC19" s="85">
        <f>PUNTAJE_GANADORES('Pollas Fase de Grupos'!BD19,'Resultados Oficiales Fase de Gr'!$D$37,'Pollas Fase de Grupos'!BE19,'Resultados Oficiales Fase de Gr'!$E$37,BB19,'Resultados Oficiales Fase de Gr'!$G$37)</f>
        <v>1</v>
      </c>
      <c r="BD19" s="85" t="str">
        <f>IF('Pollas Fase de Grupos'!BF19&gt;'Pollas Fase de Grupos'!BG19,'Pollas Fase de Grupos'!$BF$2,IF('Pollas Fase de Grupos'!BG19&gt;'Pollas Fase de Grupos'!BF19,'Pollas Fase de Grupos'!$BG$2,"EMPATE"))</f>
        <v>Japon</v>
      </c>
      <c r="BE19" s="85">
        <f>PUNTAJE_GANADORES('Pollas Fase de Grupos'!BF19,'Resultados Oficiales Fase de Gr'!$D$38,'Pollas Fase de Grupos'!BG19,'Resultados Oficiales Fase de Gr'!$E$38,BD19,'Resultados Oficiales Fase de Gr'!$G$38)</f>
        <v>0</v>
      </c>
      <c r="BF19" s="85" t="str">
        <f>IF('Pollas Fase de Grupos'!BH19&gt;'Pollas Fase de Grupos'!BI19,'Pollas Fase de Grupos'!$BH$2,IF('Pollas Fase de Grupos'!BI19&gt;'Pollas Fase de Grupos'!BH19,'Pollas Fase de Grupos'!$BI$2,"EMPATE"))</f>
        <v>España</v>
      </c>
      <c r="BG19" s="85">
        <f>PUNTAJE_GANADORES('Pollas Fase de Grupos'!BH19,'Resultados Oficiales Fase de Gr'!$D$39,'Pollas Fase de Grupos'!BI19,'Resultados Oficiales Fase de Gr'!$E$39,BF19,'Resultados Oficiales Fase de Gr'!$G$39)</f>
        <v>0</v>
      </c>
      <c r="BH19" s="85" t="str">
        <f>IF('Pollas Fase de Grupos'!BJ19&gt;'Pollas Fase de Grupos'!BK19,'Pollas Fase de Grupos'!$BJ$2,IF('Pollas Fase de Grupos'!BK19&gt;'Pollas Fase de Grupos'!BJ19,'Pollas Fase de Grupos'!$BK$2,"EMPATE"))</f>
        <v>Alemania</v>
      </c>
      <c r="BI19" s="85">
        <f>PUNTAJE_GANADORES('Pollas Fase de Grupos'!BJ19,'Resultados Oficiales Fase de Gr'!$D$40,'Pollas Fase de Grupos'!BK19,'Resultados Oficiales Fase de Gr'!$E$40,BH19,'Resultados Oficiales Fase de Gr'!$G$40)</f>
        <v>2</v>
      </c>
      <c r="BJ19" s="85" t="str">
        <f>IF('Pollas Fase de Grupos'!BL19&gt;'Pollas Fase de Grupos'!BM19,'Pollas Fase de Grupos'!$BL$2,IF('Pollas Fase de Grupos'!BM19&gt;'Pollas Fase de Grupos'!BL19,'Pollas Fase de Grupos'!$BM$2,"EMPATE"))</f>
        <v>Belgica</v>
      </c>
      <c r="BK19" s="85">
        <f>PUNTAJE_GANADORES('Pollas Fase de Grupos'!BL19,'Resultados Oficiales Fase de Gr'!$D$43,'Pollas Fase de Grupos'!BM19,'Resultados Oficiales Fase de Gr'!$E$43,BJ19,'Resultados Oficiales Fase de Gr'!$G$43)</f>
        <v>2</v>
      </c>
      <c r="BL19" s="85" t="str">
        <f>IF('Pollas Fase de Grupos'!BN19&gt;'Pollas Fase de Grupos'!BO19,'Pollas Fase de Grupos'!$BN$2,IF('Pollas Fase de Grupos'!BO19&gt;'Pollas Fase de Grupos'!BN19,'Pollas Fase de Grupos'!$BO$2,"EMPATE"))</f>
        <v>Croacia</v>
      </c>
      <c r="BM19" s="85">
        <f>PUNTAJE_GANADORES('Pollas Fase de Grupos'!BN19,'Resultados Oficiales Fase de Gr'!$D$44,'Pollas Fase de Grupos'!BO19,'Resultados Oficiales Fase de Gr'!$E$44,BL19,'Resultados Oficiales Fase de Gr'!$G$44)</f>
        <v>0</v>
      </c>
      <c r="BN19" s="85" t="str">
        <f>IF('Pollas Fase de Grupos'!BP19&gt;'Pollas Fase de Grupos'!BQ19,'Pollas Fase de Grupos'!$BP$2,IF('Pollas Fase de Grupos'!BQ19&gt;'Pollas Fase de Grupos'!BP19,'Pollas Fase de Grupos'!$BQ$2,"EMPATE"))</f>
        <v>Belgica</v>
      </c>
      <c r="BO19" s="85">
        <f>PUNTAJE_GANADORES('Pollas Fase de Grupos'!BP19,'Resultados Oficiales Fase de Gr'!$D$45,'Pollas Fase de Grupos'!BQ19,'Resultados Oficiales Fase de Gr'!$E$45,BN19,'Resultados Oficiales Fase de Gr'!$G$45)</f>
        <v>0</v>
      </c>
      <c r="BP19" s="85" t="str">
        <f>IF('Pollas Fase de Grupos'!BR19&gt;'Pollas Fase de Grupos'!BS19,'Pollas Fase de Grupos'!$BR$2,IF('Pollas Fase de Grupos'!BS19&gt;'Pollas Fase de Grupos'!BR19,'Pollas Fase de Grupos'!$BS$2,"EMPATE"))</f>
        <v>Croacia</v>
      </c>
      <c r="BQ19" s="85">
        <f>PUNTAJE_GANADORES('Pollas Fase de Grupos'!BR19,'Resultados Oficiales Fase de Gr'!$D$46,'Pollas Fase de Grupos'!BS19,'Resultados Oficiales Fase de Gr'!$E$46,BP19,'Resultados Oficiales Fase de Gr'!$G$46)</f>
        <v>3</v>
      </c>
      <c r="BR19" s="85" t="str">
        <f>IF('Pollas Fase de Grupos'!BT19&gt;'Pollas Fase de Grupos'!BU19,'Pollas Fase de Grupos'!$BT$2,IF('Pollas Fase de Grupos'!BU19&gt;'Pollas Fase de Grupos'!BT19,'Pollas Fase de Grupos'!$BU$2,"EMPATE"))</f>
        <v>Belgica</v>
      </c>
      <c r="BS19" s="85">
        <f>PUNTAJE_GANADORES('Pollas Fase de Grupos'!BT19,'Resultados Oficiales Fase de Gr'!$D$47,'Pollas Fase de Grupos'!BU19,'Resultados Oficiales Fase de Gr'!$E$47,BR19,'Resultados Oficiales Fase de Gr'!$G$47)</f>
        <v>0</v>
      </c>
      <c r="BT19" s="85" t="str">
        <f>IF('Pollas Fase de Grupos'!BV19&gt;'Pollas Fase de Grupos'!BW19,'Pollas Fase de Grupos'!$BV$2,IF('Pollas Fase de Grupos'!BW19&gt;'Pollas Fase de Grupos'!BV19,'Pollas Fase de Grupos'!$BW$2,"EMPATE"))</f>
        <v>Canada</v>
      </c>
      <c r="BU19" s="85">
        <f>PUNTAJE_GANADORES('Pollas Fase de Grupos'!BV19,'Resultados Oficiales Fase de Gr'!$D$48,'Pollas Fase de Grupos'!BW19,'Resultados Oficiales Fase de Gr'!$E$48,BT19,'Resultados Oficiales Fase de Gr'!$G$48)</f>
        <v>0</v>
      </c>
      <c r="BV19" s="85" t="str">
        <f>IF('Pollas Fase de Grupos'!BX19&gt;'Pollas Fase de Grupos'!BY19,'Pollas Fase de Grupos'!$BX$2,IF('Pollas Fase de Grupos'!BY19&gt;'Pollas Fase de Grupos'!BX19,'Pollas Fase de Grupos'!$BY$2,"EMPATE"))</f>
        <v>Brasil</v>
      </c>
      <c r="BW19" s="85">
        <f>PUNTAJE_GANADORES('Pollas Fase de Grupos'!BX19,'Resultados Oficiales Fase de Gr'!$D$51,'Pollas Fase de Grupos'!BY19,'Resultados Oficiales Fase de Gr'!$E$51,BV19,'Resultados Oficiales Fase de Gr'!$G$51)</f>
        <v>3</v>
      </c>
      <c r="BX19" s="85" t="str">
        <f>IF('Pollas Fase de Grupos'!BZ19&gt;'Pollas Fase de Grupos'!CA19,'Pollas Fase de Grupos'!$BZ$2,IF('Pollas Fase de Grupos'!CA19&gt;'Pollas Fase de Grupos'!BZ19,'Pollas Fase de Grupos'!$CA$2,"EMPATE"))</f>
        <v>Camerun</v>
      </c>
      <c r="BY19" s="85">
        <f>PUNTAJE_GANADORES('Pollas Fase de Grupos'!BZ19,'Resultados Oficiales Fase de Gr'!$D$52,'Pollas Fase de Grupos'!CA19,'Resultados Oficiales Fase de Gr'!$E$52,BX19,'Resultados Oficiales Fase de Gr'!$G$52)</f>
        <v>0</v>
      </c>
      <c r="BZ19" s="85" t="str">
        <f>IF('Pollas Fase de Grupos'!CB19&gt;'Pollas Fase de Grupos'!CC19,'Pollas Fase de Grupos'!$CB$2,IF('Pollas Fase de Grupos'!CC19&gt;'Pollas Fase de Grupos'!CB19,'Pollas Fase de Grupos'!$CC$2,"EMPATE"))</f>
        <v>Brasil</v>
      </c>
      <c r="CA19" s="85">
        <f>PUNTAJE_GANADORES('Pollas Fase de Grupos'!CB19,'Resultados Oficiales Fase de Gr'!$D$53,'Pollas Fase de Grupos'!CC19,'Resultados Oficiales Fase de Gr'!$E$53,BZ19,'Resultados Oficiales Fase de Gr'!$G$53)</f>
        <v>2</v>
      </c>
      <c r="CB19" s="85" t="str">
        <f>IF('Pollas Fase de Grupos'!CD19&gt;'Pollas Fase de Grupos'!CE19,'Pollas Fase de Grupos'!$CD$2,IF('Pollas Fase de Grupos'!CE19&gt;'Pollas Fase de Grupos'!CD19,'Pollas Fase de Grupos'!$CE$2,"EMPATE"))</f>
        <v>EMPATE</v>
      </c>
      <c r="CC19" s="85">
        <f>PUNTAJE_GANADORES('Pollas Fase de Grupos'!CD19,'Resultados Oficiales Fase de Gr'!$D$54,'Pollas Fase de Grupos'!CE19,'Resultados Oficiales Fase de Gr'!$E$54,CB19,'Resultados Oficiales Fase de Gr'!$G$54)</f>
        <v>1</v>
      </c>
      <c r="CD19" s="85" t="str">
        <f>IF('Pollas Fase de Grupos'!CF19&gt;'Pollas Fase de Grupos'!CG19,'Pollas Fase de Grupos'!$CF$2,IF('Pollas Fase de Grupos'!CG19&gt;'Pollas Fase de Grupos'!CF19,'Pollas Fase de Grupos'!$CG$2,"EMPATE"))</f>
        <v>Brasil</v>
      </c>
      <c r="CE19" s="85">
        <f>PUNTAJE_GANADORES('Pollas Fase de Grupos'!CF19,'Resultados Oficiales Fase de Gr'!$D$55,'Pollas Fase de Grupos'!CG19,'Resultados Oficiales Fase de Gr'!$E$55,CD19,'Resultados Oficiales Fase de Gr'!$G$55)</f>
        <v>0</v>
      </c>
      <c r="CF19" s="85" t="str">
        <f>IF('Pollas Fase de Grupos'!CH19&gt;'Pollas Fase de Grupos'!CI19,'Pollas Fase de Grupos'!$CH$2,IF('Pollas Fase de Grupos'!CI19&gt;'Pollas Fase de Grupos'!CH19,'Pollas Fase de Grupos'!$CI$2,"EMPATE"))</f>
        <v>Suiza</v>
      </c>
      <c r="CG19" s="85">
        <f>PUNTAJE_GANADORES('Pollas Fase de Grupos'!CH19,'Resultados Oficiales Fase de Gr'!$D$56,'Pollas Fase de Grupos'!CI19,'Resultados Oficiales Fase de Gr'!$E$56,CF19,'Resultados Oficiales Fase de Gr'!$G$56)</f>
        <v>2</v>
      </c>
      <c r="CH19" s="85" t="str">
        <f>IF('Pollas Fase de Grupos'!CJ19&gt;'Pollas Fase de Grupos'!CK19,'Pollas Fase de Grupos'!$CJ$2,IF('Pollas Fase de Grupos'!CK19&gt;'Pollas Fase de Grupos'!CJ19,'Pollas Fase de Grupos'!$CK$2,"EMPATE"))</f>
        <v>Portugal</v>
      </c>
      <c r="CI19" s="85">
        <f>PUNTAJE_GANADORES('Pollas Fase de Grupos'!CJ19,'Resultados Oficiales Fase de Gr'!$D$59,'Pollas Fase de Grupos'!CK19,'Resultados Oficiales Fase de Gr'!$E$59,CH19,'Resultados Oficiales Fase de Gr'!$G$59)</f>
        <v>3</v>
      </c>
      <c r="CJ19" s="85" t="str">
        <f>IF('Pollas Fase de Grupos'!CL19&gt;'Pollas Fase de Grupos'!CM19,'Pollas Fase de Grupos'!$CL$2,IF('Pollas Fase de Grupos'!CM19&gt;'Pollas Fase de Grupos'!CL19,'Pollas Fase de Grupos'!$CM$2,"EMPATE"))</f>
        <v>Uruguay</v>
      </c>
      <c r="CK19" s="85">
        <f>PUNTAJE_GANADORES('Pollas Fase de Grupos'!CL19,'Resultados Oficiales Fase de Gr'!$D$60,'Pollas Fase de Grupos'!CM19,'Resultados Oficiales Fase de Gr'!$E$60,CJ19,'Resultados Oficiales Fase de Gr'!$G$60)</f>
        <v>1</v>
      </c>
      <c r="CL19" s="85" t="str">
        <f>IF('Pollas Fase de Grupos'!CN19&gt;'Pollas Fase de Grupos'!CO19,'Pollas Fase de Grupos'!$CN$2,IF('Pollas Fase de Grupos'!CO19&gt;'Pollas Fase de Grupos'!CN19,'Pollas Fase de Grupos'!$CO$2,"EMPATE"))</f>
        <v>Uruguay</v>
      </c>
      <c r="CM19" s="85">
        <f>PUNTAJE_GANADORES('Pollas Fase de Grupos'!CN19,'Resultados Oficiales Fase de Gr'!$D$61,'Pollas Fase de Grupos'!CO19,'Resultados Oficiales Fase de Gr'!$E$61,CL19,'Resultados Oficiales Fase de Gr'!$G$61)</f>
        <v>0</v>
      </c>
      <c r="CN19" s="85" t="str">
        <f>IF('Pollas Fase de Grupos'!CP19&gt;'Pollas Fase de Grupos'!CQ19,'Pollas Fase de Grupos'!$CP$2,IF('Pollas Fase de Grupos'!CQ19&gt;'Pollas Fase de Grupos'!CP19,'Pollas Fase de Grupos'!$CQ$2,"EMPATE"))</f>
        <v>Ghana</v>
      </c>
      <c r="CO19" s="85">
        <f>PUNTAJE_GANADORES('Pollas Fase de Grupos'!CP19,'Resultados Oficiales Fase de Gr'!$D$62,'Pollas Fase de Grupos'!CQ19,'Resultados Oficiales Fase de Gr'!$E$62,CN19,'Resultados Oficiales Fase de Gr'!$G$62)</f>
        <v>3</v>
      </c>
      <c r="CP19" s="85" t="str">
        <f>IF('Pollas Fase de Grupos'!CR19&gt;'Pollas Fase de Grupos'!CS19,'Pollas Fase de Grupos'!$CR$2,IF('Pollas Fase de Grupos'!CS19&gt;'Pollas Fase de Grupos'!CR19,'Pollas Fase de Grupos'!$CS$2,"EMPATE"))</f>
        <v>Portugal</v>
      </c>
      <c r="CQ19" s="85">
        <f>PUNTAJE_GANADORES('Pollas Fase de Grupos'!CR19,'Resultados Oficiales Fase de Gr'!$D$63,'Pollas Fase de Grupos'!CS19,'Resultados Oficiales Fase de Gr'!$E$63,CP19,'Resultados Oficiales Fase de Gr'!$G$63)</f>
        <v>0</v>
      </c>
      <c r="CR19" s="85" t="str">
        <f>IF('Pollas Fase de Grupos'!CT19&gt;'Pollas Fase de Grupos'!CU19,'Pollas Fase de Grupos'!$CT$2,IF('Pollas Fase de Grupos'!CU19&gt;'Pollas Fase de Grupos'!CT19,'Pollas Fase de Grupos'!$CU$2,"EMPATE"))</f>
        <v>Uruguay</v>
      </c>
      <c r="CS19" s="85">
        <f>PUNTAJE_GANADORES('Pollas Fase de Grupos'!CT19,'Resultados Oficiales Fase de Gr'!$D$64,'Pollas Fase de Grupos'!CU19,'Resultados Oficiales Fase de Gr'!$E$64,CR19,'Resultados Oficiales Fase de Gr'!$G$64)</f>
        <v>2</v>
      </c>
      <c r="CT19" s="4">
        <f t="shared" si="1"/>
        <v>62</v>
      </c>
      <c r="CU19" s="17">
        <v>47.0</v>
      </c>
      <c r="CV19" s="3">
        <f t="shared" si="2"/>
        <v>65</v>
      </c>
    </row>
    <row r="20">
      <c r="A20" s="3" t="str">
        <f>'Pollas Fase de Grupos'!CV20</f>
        <v>Andres &amp; Cia</v>
      </c>
      <c r="B20" s="4" t="str">
        <f>IF('Pollas Fase de Grupos'!D20&gt;'Pollas Fase de Grupos'!E20,'Pollas Fase de Grupos'!$D$2,IF('Pollas Fase de Grupos'!E20&gt;'Pollas Fase de Grupos'!D20,'Pollas Fase de Grupos'!$E$2,"EMPATE"))</f>
        <v>Ecuador</v>
      </c>
      <c r="C20" s="4">
        <f>PUNTAJE_GANADORES('Pollas Fase de Grupos'!D20,'Resultados Oficiales Fase de Gr'!$D$3,'Pollas Fase de Grupos'!E20,'Resultados Oficiales Fase de Gr'!$E$3,B20,'Resultados Oficiales Fase de Gr'!$G$3)</f>
        <v>5</v>
      </c>
      <c r="D20" s="85" t="str">
        <f>IF('Pollas Fase de Grupos'!F20&gt;'Pollas Fase de Grupos'!G20,'Pollas Fase de Grupos'!$F$2,IF('Pollas Fase de Grupos'!G20&gt;'Pollas Fase de Grupos'!F20,'Pollas Fase de Grupos'!$G$2,"EMPATE"))</f>
        <v>Paises Bajos</v>
      </c>
      <c r="E20" s="4">
        <f>PUNTAJE_GANADORES('Pollas Fase de Grupos'!F20,'Resultados Oficiales Fase de Gr'!$D$4,'Pollas Fase de Grupos'!G20,'Resultados Oficiales Fase de Gr'!$E$4,D20,'Resultados Oficiales Fase de Gr'!$G$4)</f>
        <v>3</v>
      </c>
      <c r="F20" s="85" t="str">
        <f>IF('Pollas Fase de Grupos'!H20&gt;'Pollas Fase de Grupos'!I20,'Pollas Fase de Grupos'!$H$2,IF('Pollas Fase de Grupos'!I20&gt;'Pollas Fase de Grupos'!H20,'Pollas Fase de Grupos'!$I$2,"EMPATE"))</f>
        <v>EMPATE</v>
      </c>
      <c r="G20" s="4">
        <f>PUNTAJE_GANADORES('Pollas Fase de Grupos'!H20,'Resultados Oficiales Fase de Gr'!$D$5,'Pollas Fase de Grupos'!I20,'Resultados Oficiales Fase de Gr'!$E$5,F20,'Resultados Oficiales Fase de Gr'!$G$5)</f>
        <v>1</v>
      </c>
      <c r="H20" s="85" t="str">
        <f>IF('Pollas Fase de Grupos'!J20&gt;'Pollas Fase de Grupos'!K20,'Pollas Fase de Grupos'!$J$2,IF('Pollas Fase de Grupos'!K20&gt;'Pollas Fase de Grupos'!J20,'Pollas Fase de Grupos'!$K$2,"EMPATE"))</f>
        <v>Paises Bajos</v>
      </c>
      <c r="I20" s="4">
        <f>PUNTAJE_GANADORES('Pollas Fase de Grupos'!J20,'Resultados Oficiales Fase de Gr'!$D$6,'Pollas Fase de Grupos'!K20,'Resultados Oficiales Fase de Gr'!$E$6,H20,'Resultados Oficiales Fase de Gr'!$G$6)</f>
        <v>1</v>
      </c>
      <c r="J20" s="85" t="str">
        <f>IF('Pollas Fase de Grupos'!L20&gt;'Pollas Fase de Grupos'!M20,'Pollas Fase de Grupos'!$L$2,IF('Pollas Fase de Grupos'!M20&gt;'Pollas Fase de Grupos'!L20,'Pollas Fase de Grupos'!$M$2,"EMPATE"))</f>
        <v>Paises Bajos</v>
      </c>
      <c r="K20" s="4">
        <f>PUNTAJE_GANADORES('Pollas Fase de Grupos'!L20,'Resultados Oficiales Fase de Gr'!$D$7,'Pollas Fase de Grupos'!M20,'Resultados Oficiales Fase de Gr'!$E$7,J20,'Resultados Oficiales Fase de Gr'!$G$7)</f>
        <v>5</v>
      </c>
      <c r="L20" s="85" t="str">
        <f>IF('Pollas Fase de Grupos'!N20&gt;'Pollas Fase de Grupos'!O20,'Pollas Fase de Grupos'!$N$2,IF('Pollas Fase de Grupos'!O20&gt;'Pollas Fase de Grupos'!N20,'Pollas Fase de Grupos'!$O$2,"EMPATE"))</f>
        <v>EMPATE</v>
      </c>
      <c r="M20" s="85">
        <f>PUNTAJE_GANADORES('Pollas Fase de Grupos'!N20,'Resultados Oficiales Fase de Gr'!$D$8,'Pollas Fase de Grupos'!O20,'Resultados Oficiales Fase de Gr'!$E$8,L20,'Resultados Oficiales Fase de Gr'!$G$8)</f>
        <v>0</v>
      </c>
      <c r="N20" s="85" t="str">
        <f>IF('Pollas Fase de Grupos'!P20&gt;'Pollas Fase de Grupos'!Q20,'Pollas Fase de Grupos'!$P$2,IF('Pollas Fase de Grupos'!Q20&gt;'Pollas Fase de Grupos'!P20,'Pollas Fase de Grupos'!$Q$2,"EMPATE"))</f>
        <v>Inglaterra</v>
      </c>
      <c r="O20" s="85">
        <f>PUNTAJE_GANADORES('Pollas Fase de Grupos'!P20,'Resultados Oficiales Fase de Gr'!$D$11,'Pollas Fase de Grupos'!Q20,'Resultados Oficiales Fase de Gr'!$E$11,N20,'Resultados Oficiales Fase de Gr'!$G$11)</f>
        <v>2</v>
      </c>
      <c r="P20" s="4" t="str">
        <f>IF('Pollas Fase de Grupos'!R20&gt;'Pollas Fase de Grupos'!S20,'Pollas Fase de Grupos'!$R$2,IF('Pollas Fase de Grupos'!S20&gt;'Pollas Fase de Grupos'!R20,'Pollas Fase de Grupos'!$S$2,"EMPATE"))</f>
        <v>Gales</v>
      </c>
      <c r="Q20" s="85">
        <f>PUNTAJE_GANADORES('Pollas Fase de Grupos'!R20,'Resultados Oficiales Fase de Gr'!$D$12,'Pollas Fase de Grupos'!S20,'Resultados Oficiales Fase de Gr'!$E$12,P20,'Resultados Oficiales Fase de Gr'!$G$12)</f>
        <v>1</v>
      </c>
      <c r="R20" s="85" t="str">
        <f>IF('Pollas Fase de Grupos'!T20&gt;'Pollas Fase de Grupos'!U20,'Pollas Fase de Grupos'!$T$2,IF('Pollas Fase de Grupos'!U20&gt;'Pollas Fase de Grupos'!T20,'Pollas Fase de Grupos'!$U$2,"EMPATE"))</f>
        <v>Inglaterra</v>
      </c>
      <c r="S20" s="4">
        <f>PUNTAJE_GANADORES('Pollas Fase de Grupos'!T20,'Resultados Oficiales Fase de Gr'!$D$13,'Pollas Fase de Grupos'!U20,'Resultados Oficiales Fase de Gr'!$E$13,R20,'Resultados Oficiales Fase de Gr'!$G$13)</f>
        <v>1</v>
      </c>
      <c r="T20" s="85" t="str">
        <f>IF('Pollas Fase de Grupos'!V20&gt;'Pollas Fase de Grupos'!W20,'Pollas Fase de Grupos'!$V$2,IF('Pollas Fase de Grupos'!W20&gt;'Pollas Fase de Grupos'!V20,'Pollas Fase de Grupos'!$W$2,"EMPATE"))</f>
        <v>Gales</v>
      </c>
      <c r="U20" s="86">
        <f>PUNTAJE_GANADORES('Pollas Fase de Grupos'!V20,'Resultados Oficiales Fase de Gr'!$D$14,'Pollas Fase de Grupos'!W20,'Resultados Oficiales Fase de Gr'!$E$14,T20,'Resultados Oficiales Fase de Gr'!$G$14)</f>
        <v>0</v>
      </c>
      <c r="V20" s="85" t="str">
        <f>IF('Pollas Fase de Grupos'!X20&gt;'Pollas Fase de Grupos'!Y20,'Pollas Fase de Grupos'!$X$2,IF('Pollas Fase de Grupos'!Y20&gt;'Pollas Fase de Grupos'!X20,'Pollas Fase de Grupos'!$Y$2,"EMPATE"))</f>
        <v>EMPATE</v>
      </c>
      <c r="W20" s="85">
        <f>PUNTAJE_GANADORES('Pollas Fase de Grupos'!X20,'Resultados Oficiales Fase de Gr'!$D$15,'Pollas Fase de Grupos'!Y20,'Resultados Oficiales Fase de Gr'!$E$15,V20,'Resultados Oficiales Fase de Gr'!$G$15)</f>
        <v>0</v>
      </c>
      <c r="X20" s="85" t="str">
        <f>IF('Pollas Fase de Grupos'!Z20&gt;'Pollas Fase de Grupos'!AA20,'Pollas Fase de Grupos'!$Z$2,IF('Pollas Fase de Grupos'!AA20&gt;'Pollas Fase de Grupos'!Z20,'Pollas Fase de Grupos'!$AA$2,"EMPATE"))</f>
        <v>Estados Unidos</v>
      </c>
      <c r="Y20" s="87">
        <f>PUNTAJE_GANADORES('Pollas Fase de Grupos'!Z20,'Resultados Oficiales Fase de Gr'!$D$16,'Pollas Fase de Grupos'!AA20,'Resultados Oficiales Fase de Gr'!$E$16,X20,'Resultados Oficiales Fase de Gr'!$G$16)</f>
        <v>5</v>
      </c>
      <c r="Z20" s="85" t="str">
        <f>IF('Pollas Fase de Grupos'!AB20&gt;'Pollas Fase de Grupos'!AC20,'Pollas Fase de Grupos'!$AB$2,IF('Pollas Fase de Grupos'!AC20&gt;'Pollas Fase de Grupos'!AB20,'Pollas Fase de Grupos'!$AC$2,"EMPATE"))</f>
        <v>Argentina</v>
      </c>
      <c r="AA20" s="85">
        <f>PUNTAJE_GANADORES('Pollas Fase de Grupos'!AB20,'Resultados Oficiales Fase de Gr'!$D$19,'Pollas Fase de Grupos'!AC20,'Resultados Oficiales Fase de Gr'!$E$19,Z20,'Resultados Oficiales Fase de Gr'!$G$19)</f>
        <v>0</v>
      </c>
      <c r="AB20" s="85" t="str">
        <f>IF('Pollas Fase de Grupos'!AD20&gt;'Pollas Fase de Grupos'!AE20,'Pollas Fase de Grupos'!$AD$2,IF('Pollas Fase de Grupos'!AE20&gt;'Pollas Fase de Grupos'!AD20,'Pollas Fase de Grupos'!$AE$2,"EMPATE"))</f>
        <v>EMPATE</v>
      </c>
      <c r="AC20" s="85">
        <f>PUNTAJE_GANADORES('Pollas Fase de Grupos'!AD20,'Resultados Oficiales Fase de Gr'!$D$20,'Pollas Fase de Grupos'!AE20,'Resultados Oficiales Fase de Gr'!$E$20,AB20,'Resultados Oficiales Fase de Gr'!$G$20)</f>
        <v>1</v>
      </c>
      <c r="AD20" s="85" t="str">
        <f>IF('Pollas Fase de Grupos'!AF20&gt;'Pollas Fase de Grupos'!AG20,'Pollas Fase de Grupos'!$AF$2,IF('Pollas Fase de Grupos'!AG20&gt;'Pollas Fase de Grupos'!AF20,'Pollas Fase de Grupos'!$AG$2,"EMPATE"))</f>
        <v>Argentina</v>
      </c>
      <c r="AE20" s="85">
        <f>PUNTAJE_GANADORES('Pollas Fase de Grupos'!AF20,'Resultados Oficiales Fase de Gr'!$D$21,'Pollas Fase de Grupos'!AG20,'Resultados Oficiales Fase de Gr'!$E$21,AD20,'Resultados Oficiales Fase de Gr'!$G$21)</f>
        <v>3</v>
      </c>
      <c r="AF20" s="85" t="str">
        <f>IF('Pollas Fase de Grupos'!AH20&gt;'Pollas Fase de Grupos'!AI20,'Pollas Fase de Grupos'!$AH$2,IF('Pollas Fase de Grupos'!AI20&gt;'Pollas Fase de Grupos'!AH20,'Pollas Fase de Grupos'!$AI$2,"EMPATE"))</f>
        <v>Polonia</v>
      </c>
      <c r="AG20" s="85">
        <f>PUNTAJE_GANADORES('Pollas Fase de Grupos'!AH20,'Resultados Oficiales Fase de Gr'!$D$22,'Pollas Fase de Grupos'!AI20,'Resultados Oficiales Fase de Gr'!$E$22,AF20,'Resultados Oficiales Fase de Gr'!$G$22)</f>
        <v>5</v>
      </c>
      <c r="AH20" s="85" t="str">
        <f>IF('Pollas Fase de Grupos'!AJ20&gt;'Pollas Fase de Grupos'!AK20,'Pollas Fase de Grupos'!$AJ$2,IF('Pollas Fase de Grupos'!AK20&gt;'Pollas Fase de Grupos'!AJ20,'Pollas Fase de Grupos'!$AK$2,"EMPATE"))</f>
        <v>Argentina</v>
      </c>
      <c r="AI20" s="85">
        <f>PUNTAJE_GANADORES('Pollas Fase de Grupos'!AJ20,'Resultados Oficiales Fase de Gr'!$D$23,'Pollas Fase de Grupos'!AK20,'Resultados Oficiales Fase de Gr'!$E$23,AH20,'Resultados Oficiales Fase de Gr'!$G$23)</f>
        <v>3</v>
      </c>
      <c r="AJ20" s="85" t="str">
        <f>IF('Pollas Fase de Grupos'!AL20&gt;'Pollas Fase de Grupos'!AM20,'Pollas Fase de Grupos'!$AL$2,IF('Pollas Fase de Grupos'!AM20&gt;'Pollas Fase de Grupos'!AL20,'Pollas Fase de Grupos'!$AM$2,"EMPATE"))</f>
        <v>Mexico</v>
      </c>
      <c r="AK20" s="85">
        <f>PUNTAJE_GANADORES('Pollas Fase de Grupos'!AL20,'Resultados Oficiales Fase de Gr'!$D$24,'Pollas Fase de Grupos'!AM20,'Resultados Oficiales Fase de Gr'!$E$24,AJ20,'Resultados Oficiales Fase de Gr'!$G$24)</f>
        <v>2</v>
      </c>
      <c r="AL20" s="85" t="str">
        <f>IF('Pollas Fase de Grupos'!AN20&gt;'Pollas Fase de Grupos'!AO20,'Pollas Fase de Grupos'!$AN$2,IF('Pollas Fase de Grupos'!AO20&gt;'Pollas Fase de Grupos'!AN20,'Pollas Fase de Grupos'!$AO$2,"EMPATE"))</f>
        <v>Francia</v>
      </c>
      <c r="AM20" s="85">
        <f>PUNTAJE_GANADORES('Pollas Fase de Grupos'!AN20,'Resultados Oficiales Fase de Gr'!$D$27,'Pollas Fase de Grupos'!AO20,'Resultados Oficiales Fase de Gr'!$E$27,AL20,'Resultados Oficiales Fase de Gr'!$G$27)</f>
        <v>3</v>
      </c>
      <c r="AN20" s="85" t="str">
        <f>IF('Pollas Fase de Grupos'!AP20&gt;'Pollas Fase de Grupos'!AQ20,'Pollas Fase de Grupos'!$AP$2,IF('Pollas Fase de Grupos'!AQ20&gt;'Pollas Fase de Grupos'!AP20,'Pollas Fase de Grupos'!$AQ$2,"EMPATE"))</f>
        <v>Dinamarca</v>
      </c>
      <c r="AO20" s="85">
        <f>PUNTAJE_GANADORES('Pollas Fase de Grupos'!AP20,'Resultados Oficiales Fase de Gr'!$D$28,'Pollas Fase de Grupos'!AQ20,'Resultados Oficiales Fase de Gr'!$E$28,AN20,'Resultados Oficiales Fase de Gr'!$G$28)</f>
        <v>1</v>
      </c>
      <c r="AP20" s="85" t="str">
        <f>IF('Pollas Fase de Grupos'!AR20&gt;'Pollas Fase de Grupos'!AS20,'Pollas Fase de Grupos'!$AR$2,IF('Pollas Fase de Grupos'!AS20&gt;'Pollas Fase de Grupos'!AR20,'Pollas Fase de Grupos'!$AS$2,"EMPATE"))</f>
        <v>Francia</v>
      </c>
      <c r="AQ20" s="85">
        <f>PUNTAJE_GANADORES('Pollas Fase de Grupos'!AR20,'Resultados Oficiales Fase de Gr'!$D$29,'Pollas Fase de Grupos'!AS20,'Resultados Oficiales Fase de Gr'!$E$29,AP20,'Resultados Oficiales Fase de Gr'!$G$29)</f>
        <v>2</v>
      </c>
      <c r="AR20" s="85" t="str">
        <f>IF('Pollas Fase de Grupos'!AT20&gt;'Pollas Fase de Grupos'!AU20,'Pollas Fase de Grupos'!$AT$2,IF('Pollas Fase de Grupos'!AU20&gt;'Pollas Fase de Grupos'!AT20,'Pollas Fase de Grupos'!$AU$2,"EMPATE"))</f>
        <v>EMPATE</v>
      </c>
      <c r="AS20" s="85">
        <f>PUNTAJE_GANADORES('Pollas Fase de Grupos'!AT20,'Resultados Oficiales Fase de Gr'!$D$30,'Pollas Fase de Grupos'!AU20,'Resultados Oficiales Fase de Gr'!$E$30,AR20,'Resultados Oficiales Fase de Gr'!$G$30)</f>
        <v>1</v>
      </c>
      <c r="AT20" s="85" t="str">
        <f>IF('Pollas Fase de Grupos'!AV20&gt;'Pollas Fase de Grupos'!AW20,'Pollas Fase de Grupos'!$AV$2,IF('Pollas Fase de Grupos'!AW20&gt;'Pollas Fase de Grupos'!AV20,'Pollas Fase de Grupos'!$AW$2,"EMPATE"))</f>
        <v>Francia</v>
      </c>
      <c r="AU20" s="85">
        <f>PUNTAJE_GANADORES('Pollas Fase de Grupos'!AV20,'Resultados Oficiales Fase de Gr'!$D$31,'Pollas Fase de Grupos'!AW20,'Resultados Oficiales Fase de Gr'!$E$31,AT20,'Resultados Oficiales Fase de Gr'!$G$31)</f>
        <v>0</v>
      </c>
      <c r="AV20" s="85" t="str">
        <f>IF('Pollas Fase de Grupos'!AX20&gt;'Pollas Fase de Grupos'!AY20,'Pollas Fase de Grupos'!$AX$2,IF('Pollas Fase de Grupos'!AY20&gt;'Pollas Fase de Grupos'!AX20,'Pollas Fase de Grupos'!$AY$2,"EMPATE"))</f>
        <v>EMPATE</v>
      </c>
      <c r="AW20" s="85">
        <f>PUNTAJE_GANADORES('Pollas Fase de Grupos'!AX20,'Resultados Oficiales Fase de Gr'!$D$32,'Pollas Fase de Grupos'!AY20,'Resultados Oficiales Fase de Gr'!$E$32,AV20,'Resultados Oficiales Fase de Gr'!$G$32)</f>
        <v>1</v>
      </c>
      <c r="AX20" s="85" t="str">
        <f>IF('Pollas Fase de Grupos'!AZ20&gt;'Pollas Fase de Grupos'!BA20,'Pollas Fase de Grupos'!$AZ$2,IF('Pollas Fase de Grupos'!BA20&gt;'Pollas Fase de Grupos'!AZ20,'Pollas Fase de Grupos'!$BA$2,"EMPATE"))</f>
        <v>España</v>
      </c>
      <c r="AY20" s="85">
        <f>PUNTAJE_GANADORES('Pollas Fase de Grupos'!AZ20,'Resultados Oficiales Fase de Gr'!$D$35,'Pollas Fase de Grupos'!BA20,'Resultados Oficiales Fase de Gr'!$E$35,AX20,'Resultados Oficiales Fase de Gr'!$G$35)</f>
        <v>1</v>
      </c>
      <c r="AZ20" s="85" t="str">
        <f>IF('Pollas Fase de Grupos'!BB20&gt;'Pollas Fase de Grupos'!BC20,'Pollas Fase de Grupos'!$BB$2,IF('Pollas Fase de Grupos'!BC20&gt;'Pollas Fase de Grupos'!BB20,'Pollas Fase de Grupos'!$BC$2,"EMPATE"))</f>
        <v>Alemania</v>
      </c>
      <c r="BA20" s="85">
        <f>PUNTAJE_GANADORES('Pollas Fase de Grupos'!BB20,'Resultados Oficiales Fase de Gr'!$D$36,'Pollas Fase de Grupos'!BC20,'Resultados Oficiales Fase de Gr'!$E$36,AZ20,'Resultados Oficiales Fase de Gr'!$G$36)</f>
        <v>0</v>
      </c>
      <c r="BB20" s="85" t="str">
        <f>IF('Pollas Fase de Grupos'!BD20&gt;'Pollas Fase de Grupos'!BE20,'Pollas Fase de Grupos'!$BD$2,IF('Pollas Fase de Grupos'!BE20&gt;'Pollas Fase de Grupos'!BD20,'Pollas Fase de Grupos'!$BE$2,"EMPATE"))</f>
        <v>Alemania</v>
      </c>
      <c r="BC20" s="85">
        <f>PUNTAJE_GANADORES('Pollas Fase de Grupos'!BD20,'Resultados Oficiales Fase de Gr'!$D$37,'Pollas Fase de Grupos'!BE20,'Resultados Oficiales Fase de Gr'!$E$37,BB20,'Resultados Oficiales Fase de Gr'!$G$37)</f>
        <v>0</v>
      </c>
      <c r="BD20" s="85" t="str">
        <f>IF('Pollas Fase de Grupos'!BF20&gt;'Pollas Fase de Grupos'!BG20,'Pollas Fase de Grupos'!$BF$2,IF('Pollas Fase de Grupos'!BG20&gt;'Pollas Fase de Grupos'!BF20,'Pollas Fase de Grupos'!$BG$2,"EMPATE"))</f>
        <v>Japon</v>
      </c>
      <c r="BE20" s="85">
        <f>PUNTAJE_GANADORES('Pollas Fase de Grupos'!BF20,'Resultados Oficiales Fase de Gr'!$D$38,'Pollas Fase de Grupos'!BG20,'Resultados Oficiales Fase de Gr'!$E$38,BD20,'Resultados Oficiales Fase de Gr'!$G$38)</f>
        <v>1</v>
      </c>
      <c r="BF20" s="85" t="str">
        <f>IF('Pollas Fase de Grupos'!BH20&gt;'Pollas Fase de Grupos'!BI20,'Pollas Fase de Grupos'!$BH$2,IF('Pollas Fase de Grupos'!BI20&gt;'Pollas Fase de Grupos'!BH20,'Pollas Fase de Grupos'!$BI$2,"EMPATE"))</f>
        <v>EMPATE</v>
      </c>
      <c r="BG20" s="85">
        <f>PUNTAJE_GANADORES('Pollas Fase de Grupos'!BH20,'Resultados Oficiales Fase de Gr'!$D$39,'Pollas Fase de Grupos'!BI20,'Resultados Oficiales Fase de Gr'!$E$39,BF20,'Resultados Oficiales Fase de Gr'!$G$39)</f>
        <v>1</v>
      </c>
      <c r="BH20" s="85" t="str">
        <f>IF('Pollas Fase de Grupos'!BJ20&gt;'Pollas Fase de Grupos'!BK20,'Pollas Fase de Grupos'!$BJ$2,IF('Pollas Fase de Grupos'!BK20&gt;'Pollas Fase de Grupos'!BJ20,'Pollas Fase de Grupos'!$BK$2,"EMPATE"))</f>
        <v>Alemania</v>
      </c>
      <c r="BI20" s="85">
        <f>PUNTAJE_GANADORES('Pollas Fase de Grupos'!BJ20,'Resultados Oficiales Fase de Gr'!$D$40,'Pollas Fase de Grupos'!BK20,'Resultados Oficiales Fase de Gr'!$E$40,BH20,'Resultados Oficiales Fase de Gr'!$G$40)</f>
        <v>2</v>
      </c>
      <c r="BJ20" s="85" t="str">
        <f>IF('Pollas Fase de Grupos'!BL20&gt;'Pollas Fase de Grupos'!BM20,'Pollas Fase de Grupos'!$BL$2,IF('Pollas Fase de Grupos'!BM20&gt;'Pollas Fase de Grupos'!BL20,'Pollas Fase de Grupos'!$BM$2,"EMPATE"))</f>
        <v>Belgica</v>
      </c>
      <c r="BK20" s="85">
        <f>PUNTAJE_GANADORES('Pollas Fase de Grupos'!BL20,'Resultados Oficiales Fase de Gr'!$D$43,'Pollas Fase de Grupos'!BM20,'Resultados Oficiales Fase de Gr'!$E$43,BJ20,'Resultados Oficiales Fase de Gr'!$G$43)</f>
        <v>3</v>
      </c>
      <c r="BL20" s="85" t="str">
        <f>IF('Pollas Fase de Grupos'!BN20&gt;'Pollas Fase de Grupos'!BO20,'Pollas Fase de Grupos'!$BN$2,IF('Pollas Fase de Grupos'!BO20&gt;'Pollas Fase de Grupos'!BN20,'Pollas Fase de Grupos'!$BO$2,"EMPATE"))</f>
        <v>Croacia</v>
      </c>
      <c r="BM20" s="85">
        <f>PUNTAJE_GANADORES('Pollas Fase de Grupos'!BN20,'Resultados Oficiales Fase de Gr'!$D$44,'Pollas Fase de Grupos'!BO20,'Resultados Oficiales Fase de Gr'!$E$44,BL20,'Resultados Oficiales Fase de Gr'!$G$44)</f>
        <v>1</v>
      </c>
      <c r="BN20" s="85" t="str">
        <f>IF('Pollas Fase de Grupos'!BP20&gt;'Pollas Fase de Grupos'!BQ20,'Pollas Fase de Grupos'!$BP$2,IF('Pollas Fase de Grupos'!BQ20&gt;'Pollas Fase de Grupos'!BP20,'Pollas Fase de Grupos'!$BQ$2,"EMPATE"))</f>
        <v>Belgica</v>
      </c>
      <c r="BO20" s="85">
        <f>PUNTAJE_GANADORES('Pollas Fase de Grupos'!BP20,'Resultados Oficiales Fase de Gr'!$D$45,'Pollas Fase de Grupos'!BQ20,'Resultados Oficiales Fase de Gr'!$E$45,BN20,'Resultados Oficiales Fase de Gr'!$G$45)</f>
        <v>0</v>
      </c>
      <c r="BP20" s="85" t="str">
        <f>IF('Pollas Fase de Grupos'!BR20&gt;'Pollas Fase de Grupos'!BS20,'Pollas Fase de Grupos'!$BR$2,IF('Pollas Fase de Grupos'!BS20&gt;'Pollas Fase de Grupos'!BR20,'Pollas Fase de Grupos'!$BS$2,"EMPATE"))</f>
        <v>Croacia</v>
      </c>
      <c r="BQ20" s="85">
        <f>PUNTAJE_GANADORES('Pollas Fase de Grupos'!BR20,'Resultados Oficiales Fase de Gr'!$D$46,'Pollas Fase de Grupos'!BS20,'Resultados Oficiales Fase de Gr'!$E$46,BP20,'Resultados Oficiales Fase de Gr'!$G$46)</f>
        <v>3</v>
      </c>
      <c r="BR20" s="85" t="str">
        <f>IF('Pollas Fase de Grupos'!BT20&gt;'Pollas Fase de Grupos'!BU20,'Pollas Fase de Grupos'!$BT$2,IF('Pollas Fase de Grupos'!BU20&gt;'Pollas Fase de Grupos'!BT20,'Pollas Fase de Grupos'!$BU$2,"EMPATE"))</f>
        <v>EMPATE</v>
      </c>
      <c r="BS20" s="85">
        <f>PUNTAJE_GANADORES('Pollas Fase de Grupos'!BT20,'Resultados Oficiales Fase de Gr'!$D$47,'Pollas Fase de Grupos'!BU20,'Resultados Oficiales Fase de Gr'!$E$47,BR20,'Resultados Oficiales Fase de Gr'!$G$47)</f>
        <v>1</v>
      </c>
      <c r="BT20" s="85" t="str">
        <f>IF('Pollas Fase de Grupos'!BV20&gt;'Pollas Fase de Grupos'!BW20,'Pollas Fase de Grupos'!$BV$2,IF('Pollas Fase de Grupos'!BW20&gt;'Pollas Fase de Grupos'!BV20,'Pollas Fase de Grupos'!$BW$2,"EMPATE"))</f>
        <v>EMPATE</v>
      </c>
      <c r="BU20" s="85">
        <f>PUNTAJE_GANADORES('Pollas Fase de Grupos'!BV20,'Resultados Oficiales Fase de Gr'!$D$48,'Pollas Fase de Grupos'!BW20,'Resultados Oficiales Fase de Gr'!$E$48,BT20,'Resultados Oficiales Fase de Gr'!$G$48)</f>
        <v>0</v>
      </c>
      <c r="BV20" s="85" t="str">
        <f>IF('Pollas Fase de Grupos'!BX20&gt;'Pollas Fase de Grupos'!BY20,'Pollas Fase de Grupos'!$BX$2,IF('Pollas Fase de Grupos'!BY20&gt;'Pollas Fase de Grupos'!BX20,'Pollas Fase de Grupos'!$BY$2,"EMPATE"))</f>
        <v>Brasil</v>
      </c>
      <c r="BW20" s="85">
        <f>PUNTAJE_GANADORES('Pollas Fase de Grupos'!BX20,'Resultados Oficiales Fase de Gr'!$D$51,'Pollas Fase de Grupos'!BY20,'Resultados Oficiales Fase de Gr'!$E$51,BV20,'Resultados Oficiales Fase de Gr'!$G$51)</f>
        <v>3</v>
      </c>
      <c r="BX20" s="85" t="str">
        <f>IF('Pollas Fase de Grupos'!BZ20&gt;'Pollas Fase de Grupos'!CA20,'Pollas Fase de Grupos'!$BZ$2,IF('Pollas Fase de Grupos'!CA20&gt;'Pollas Fase de Grupos'!BZ20,'Pollas Fase de Grupos'!$CA$2,"EMPATE"))</f>
        <v>Camerun</v>
      </c>
      <c r="BY20" s="85">
        <f>PUNTAJE_GANADORES('Pollas Fase de Grupos'!BZ20,'Resultados Oficiales Fase de Gr'!$D$52,'Pollas Fase de Grupos'!CA20,'Resultados Oficiales Fase de Gr'!$E$52,BX20,'Resultados Oficiales Fase de Gr'!$G$52)</f>
        <v>0</v>
      </c>
      <c r="BZ20" s="85" t="str">
        <f>IF('Pollas Fase de Grupos'!CB20&gt;'Pollas Fase de Grupos'!CC20,'Pollas Fase de Grupos'!$CB$2,IF('Pollas Fase de Grupos'!CC20&gt;'Pollas Fase de Grupos'!CB20,'Pollas Fase de Grupos'!$CC$2,"EMPATE"))</f>
        <v>Brasil</v>
      </c>
      <c r="CA20" s="85">
        <f>PUNTAJE_GANADORES('Pollas Fase de Grupos'!CB20,'Resultados Oficiales Fase de Gr'!$D$53,'Pollas Fase de Grupos'!CC20,'Resultados Oficiales Fase de Gr'!$E$53,BZ20,'Resultados Oficiales Fase de Gr'!$G$53)</f>
        <v>2</v>
      </c>
      <c r="CB20" s="85" t="str">
        <f>IF('Pollas Fase de Grupos'!CD20&gt;'Pollas Fase de Grupos'!CE20,'Pollas Fase de Grupos'!$CD$2,IF('Pollas Fase de Grupos'!CE20&gt;'Pollas Fase de Grupos'!CD20,'Pollas Fase de Grupos'!$CE$2,"EMPATE"))</f>
        <v>EMPATE</v>
      </c>
      <c r="CC20" s="85">
        <f>PUNTAJE_GANADORES('Pollas Fase de Grupos'!CD20,'Resultados Oficiales Fase de Gr'!$D$54,'Pollas Fase de Grupos'!CE20,'Resultados Oficiales Fase de Gr'!$E$54,CB20,'Resultados Oficiales Fase de Gr'!$G$54)</f>
        <v>1</v>
      </c>
      <c r="CD20" s="85" t="str">
        <f>IF('Pollas Fase de Grupos'!CF20&gt;'Pollas Fase de Grupos'!CG20,'Pollas Fase de Grupos'!$CF$2,IF('Pollas Fase de Grupos'!CG20&gt;'Pollas Fase de Grupos'!CF20,'Pollas Fase de Grupos'!$CG$2,"EMPATE"))</f>
        <v>Brasil</v>
      </c>
      <c r="CE20" s="85">
        <f>PUNTAJE_GANADORES('Pollas Fase de Grupos'!CF20,'Resultados Oficiales Fase de Gr'!$D$55,'Pollas Fase de Grupos'!CG20,'Resultados Oficiales Fase de Gr'!$E$55,CD20,'Resultados Oficiales Fase de Gr'!$G$55)</f>
        <v>1</v>
      </c>
      <c r="CF20" s="85" t="str">
        <f>IF('Pollas Fase de Grupos'!CH20&gt;'Pollas Fase de Grupos'!CI20,'Pollas Fase de Grupos'!$CH$2,IF('Pollas Fase de Grupos'!CI20&gt;'Pollas Fase de Grupos'!CH20,'Pollas Fase de Grupos'!$CI$2,"EMPATE"))</f>
        <v>Suiza</v>
      </c>
      <c r="CG20" s="85">
        <f>PUNTAJE_GANADORES('Pollas Fase de Grupos'!CH20,'Resultados Oficiales Fase de Gr'!$D$56,'Pollas Fase de Grupos'!CI20,'Resultados Oficiales Fase de Gr'!$E$56,CF20,'Resultados Oficiales Fase de Gr'!$G$56)</f>
        <v>2</v>
      </c>
      <c r="CH20" s="85" t="str">
        <f>IF('Pollas Fase de Grupos'!CJ20&gt;'Pollas Fase de Grupos'!CK20,'Pollas Fase de Grupos'!$CJ$2,IF('Pollas Fase de Grupos'!CK20&gt;'Pollas Fase de Grupos'!CJ20,'Pollas Fase de Grupos'!$CK$2,"EMPATE"))</f>
        <v>Portugal</v>
      </c>
      <c r="CI20" s="85">
        <f>PUNTAJE_GANADORES('Pollas Fase de Grupos'!CJ20,'Resultados Oficiales Fase de Gr'!$D$59,'Pollas Fase de Grupos'!CK20,'Resultados Oficiales Fase de Gr'!$E$59,CH20,'Resultados Oficiales Fase de Gr'!$G$59)</f>
        <v>2</v>
      </c>
      <c r="CJ20" s="85" t="str">
        <f>IF('Pollas Fase de Grupos'!CL20&gt;'Pollas Fase de Grupos'!CM20,'Pollas Fase de Grupos'!$CL$2,IF('Pollas Fase de Grupos'!CM20&gt;'Pollas Fase de Grupos'!CL20,'Pollas Fase de Grupos'!$CM$2,"EMPATE"))</f>
        <v>EMPATE</v>
      </c>
      <c r="CK20" s="85">
        <f>PUNTAJE_GANADORES('Pollas Fase de Grupos'!CL20,'Resultados Oficiales Fase de Gr'!$D$60,'Pollas Fase de Grupos'!CM20,'Resultados Oficiales Fase de Gr'!$E$60,CJ20,'Resultados Oficiales Fase de Gr'!$G$60)</f>
        <v>1</v>
      </c>
      <c r="CL20" s="85" t="str">
        <f>IF('Pollas Fase de Grupos'!CN20&gt;'Pollas Fase de Grupos'!CO20,'Pollas Fase de Grupos'!$CN$2,IF('Pollas Fase de Grupos'!CO20&gt;'Pollas Fase de Grupos'!CN20,'Pollas Fase de Grupos'!$CO$2,"EMPATE"))</f>
        <v>EMPATE</v>
      </c>
      <c r="CM20" s="85">
        <f>PUNTAJE_GANADORES('Pollas Fase de Grupos'!CN20,'Resultados Oficiales Fase de Gr'!$D$61,'Pollas Fase de Grupos'!CO20,'Resultados Oficiales Fase de Gr'!$E$61,CL20,'Resultados Oficiales Fase de Gr'!$G$61)</f>
        <v>1</v>
      </c>
      <c r="CN20" s="85" t="str">
        <f>IF('Pollas Fase de Grupos'!CP20&gt;'Pollas Fase de Grupos'!CQ20,'Pollas Fase de Grupos'!$CP$2,IF('Pollas Fase de Grupos'!CQ20&gt;'Pollas Fase de Grupos'!CP20,'Pollas Fase de Grupos'!$CQ$2,"EMPATE"))</f>
        <v>EMPATE</v>
      </c>
      <c r="CO20" s="85">
        <f>PUNTAJE_GANADORES('Pollas Fase de Grupos'!CP20,'Resultados Oficiales Fase de Gr'!$D$62,'Pollas Fase de Grupos'!CQ20,'Resultados Oficiales Fase de Gr'!$E$62,CN20,'Resultados Oficiales Fase de Gr'!$G$62)</f>
        <v>0</v>
      </c>
      <c r="CP20" s="85" t="str">
        <f>IF('Pollas Fase de Grupos'!CR20&gt;'Pollas Fase de Grupos'!CS20,'Pollas Fase de Grupos'!$CR$2,IF('Pollas Fase de Grupos'!CS20&gt;'Pollas Fase de Grupos'!CR20,'Pollas Fase de Grupos'!$CS$2,"EMPATE"))</f>
        <v>Portugal</v>
      </c>
      <c r="CQ20" s="85">
        <f>PUNTAJE_GANADORES('Pollas Fase de Grupos'!CR20,'Resultados Oficiales Fase de Gr'!$D$63,'Pollas Fase de Grupos'!CS20,'Resultados Oficiales Fase de Gr'!$E$63,CP20,'Resultados Oficiales Fase de Gr'!$G$63)</f>
        <v>0</v>
      </c>
      <c r="CR20" s="85" t="str">
        <f>IF('Pollas Fase de Grupos'!CT20&gt;'Pollas Fase de Grupos'!CU20,'Pollas Fase de Grupos'!$CT$2,IF('Pollas Fase de Grupos'!CU20&gt;'Pollas Fase de Grupos'!CT20,'Pollas Fase de Grupos'!$CU$2,"EMPATE"))</f>
        <v>Uruguay</v>
      </c>
      <c r="CS20" s="85">
        <f>PUNTAJE_GANADORES('Pollas Fase de Grupos'!CT20,'Resultados Oficiales Fase de Gr'!$D$64,'Pollas Fase de Grupos'!CU20,'Resultados Oficiales Fase de Gr'!$E$64,CR20,'Resultados Oficiales Fase de Gr'!$G$64)</f>
        <v>5</v>
      </c>
      <c r="CT20" s="4">
        <f t="shared" si="1"/>
        <v>77</v>
      </c>
      <c r="CU20" s="17">
        <v>52.0</v>
      </c>
      <c r="CV20" s="3">
        <f t="shared" si="2"/>
        <v>80</v>
      </c>
    </row>
    <row r="21">
      <c r="A21" s="3" t="str">
        <f>'Pollas Fase de Grupos'!CV21</f>
        <v>Las tejedoras</v>
      </c>
      <c r="B21" s="4" t="str">
        <f>IF('Pollas Fase de Grupos'!D21&gt;'Pollas Fase de Grupos'!E21,'Pollas Fase de Grupos'!$D$2,IF('Pollas Fase de Grupos'!E21&gt;'Pollas Fase de Grupos'!D21,'Pollas Fase de Grupos'!$E$2,"EMPATE"))</f>
        <v>EMPATE</v>
      </c>
      <c r="C21" s="4">
        <f>PUNTAJE_GANADORES('Pollas Fase de Grupos'!D21,'Resultados Oficiales Fase de Gr'!$D$3,'Pollas Fase de Grupos'!E21,'Resultados Oficiales Fase de Gr'!$E$3,B21,'Resultados Oficiales Fase de Gr'!$G$3)</f>
        <v>1</v>
      </c>
      <c r="D21" s="85" t="str">
        <f>IF('Pollas Fase de Grupos'!F21&gt;'Pollas Fase de Grupos'!G21,'Pollas Fase de Grupos'!$F$2,IF('Pollas Fase de Grupos'!G21&gt;'Pollas Fase de Grupos'!F21,'Pollas Fase de Grupos'!$G$2,"EMPATE"))</f>
        <v>EMPATE</v>
      </c>
      <c r="E21" s="4">
        <f>PUNTAJE_GANADORES('Pollas Fase de Grupos'!F21,'Resultados Oficiales Fase de Gr'!$D$4,'Pollas Fase de Grupos'!G21,'Resultados Oficiales Fase de Gr'!$E$4,D21,'Resultados Oficiales Fase de Gr'!$G$4)</f>
        <v>0</v>
      </c>
      <c r="F21" s="85" t="str">
        <f>IF('Pollas Fase de Grupos'!H21&gt;'Pollas Fase de Grupos'!I21,'Pollas Fase de Grupos'!$H$2,IF('Pollas Fase de Grupos'!I21&gt;'Pollas Fase de Grupos'!H21,'Pollas Fase de Grupos'!$I$2,"EMPATE"))</f>
        <v>Senegal</v>
      </c>
      <c r="G21" s="4">
        <f>PUNTAJE_GANADORES('Pollas Fase de Grupos'!H21,'Resultados Oficiales Fase de Gr'!$D$5,'Pollas Fase de Grupos'!I21,'Resultados Oficiales Fase de Gr'!$E$5,F21,'Resultados Oficiales Fase de Gr'!$G$5)</f>
        <v>3</v>
      </c>
      <c r="H21" s="85" t="str">
        <f>IF('Pollas Fase de Grupos'!J21&gt;'Pollas Fase de Grupos'!K21,'Pollas Fase de Grupos'!$J$2,IF('Pollas Fase de Grupos'!K21&gt;'Pollas Fase de Grupos'!J21,'Pollas Fase de Grupos'!$K$2,"EMPATE"))</f>
        <v>EMPATE</v>
      </c>
      <c r="I21" s="4">
        <f>PUNTAJE_GANADORES('Pollas Fase de Grupos'!J21,'Resultados Oficiales Fase de Gr'!$D$6,'Pollas Fase de Grupos'!K21,'Resultados Oficiales Fase de Gr'!$E$6,H21,'Resultados Oficiales Fase de Gr'!$G$6)</f>
        <v>5</v>
      </c>
      <c r="J21" s="85" t="str">
        <f>IF('Pollas Fase de Grupos'!L21&gt;'Pollas Fase de Grupos'!M21,'Pollas Fase de Grupos'!$L$2,IF('Pollas Fase de Grupos'!M21&gt;'Pollas Fase de Grupos'!L21,'Pollas Fase de Grupos'!$M$2,"EMPATE"))</f>
        <v>Paises Bajos</v>
      </c>
      <c r="K21" s="4">
        <f>PUNTAJE_GANADORES('Pollas Fase de Grupos'!L21,'Resultados Oficiales Fase de Gr'!$D$7,'Pollas Fase de Grupos'!M21,'Resultados Oficiales Fase de Gr'!$E$7,J21,'Resultados Oficiales Fase de Gr'!$G$7)</f>
        <v>3</v>
      </c>
      <c r="L21" s="85" t="str">
        <f>IF('Pollas Fase de Grupos'!N21&gt;'Pollas Fase de Grupos'!O21,'Pollas Fase de Grupos'!$N$2,IF('Pollas Fase de Grupos'!O21&gt;'Pollas Fase de Grupos'!N21,'Pollas Fase de Grupos'!$O$2,"EMPATE"))</f>
        <v>Ecuador</v>
      </c>
      <c r="M21" s="85">
        <f>PUNTAJE_GANADORES('Pollas Fase de Grupos'!N21,'Resultados Oficiales Fase de Gr'!$D$8,'Pollas Fase de Grupos'!O21,'Resultados Oficiales Fase de Gr'!$E$8,L21,'Resultados Oficiales Fase de Gr'!$G$8)</f>
        <v>0</v>
      </c>
      <c r="N21" s="85" t="str">
        <f>IF('Pollas Fase de Grupos'!P21&gt;'Pollas Fase de Grupos'!Q21,'Pollas Fase de Grupos'!$P$2,IF('Pollas Fase de Grupos'!Q21&gt;'Pollas Fase de Grupos'!P21,'Pollas Fase de Grupos'!$Q$2,"EMPATE"))</f>
        <v>Inglaterra</v>
      </c>
      <c r="O21" s="85">
        <f>PUNTAJE_GANADORES('Pollas Fase de Grupos'!P21,'Resultados Oficiales Fase de Gr'!$D$11,'Pollas Fase de Grupos'!Q21,'Resultados Oficiales Fase de Gr'!$E$11,N21,'Resultados Oficiales Fase de Gr'!$G$11)</f>
        <v>2</v>
      </c>
      <c r="P21" s="4" t="str">
        <f>IF('Pollas Fase de Grupos'!R21&gt;'Pollas Fase de Grupos'!S21,'Pollas Fase de Grupos'!$R$2,IF('Pollas Fase de Grupos'!S21&gt;'Pollas Fase de Grupos'!R21,'Pollas Fase de Grupos'!$S$2,"EMPATE"))</f>
        <v>Estados Unidos</v>
      </c>
      <c r="Q21" s="85">
        <f>PUNTAJE_GANADORES('Pollas Fase de Grupos'!R21,'Resultados Oficiales Fase de Gr'!$D$12,'Pollas Fase de Grupos'!S21,'Resultados Oficiales Fase de Gr'!$E$12,P21,'Resultados Oficiales Fase de Gr'!$G$12)</f>
        <v>1</v>
      </c>
      <c r="R21" s="85" t="str">
        <f>IF('Pollas Fase de Grupos'!T21&gt;'Pollas Fase de Grupos'!U21,'Pollas Fase de Grupos'!$T$2,IF('Pollas Fase de Grupos'!U21&gt;'Pollas Fase de Grupos'!T21,'Pollas Fase de Grupos'!$U$2,"EMPATE"))</f>
        <v>Inglaterra</v>
      </c>
      <c r="S21" s="4">
        <f>PUNTAJE_GANADORES('Pollas Fase de Grupos'!T21,'Resultados Oficiales Fase de Gr'!$D$13,'Pollas Fase de Grupos'!U21,'Resultados Oficiales Fase de Gr'!$E$13,R21,'Resultados Oficiales Fase de Gr'!$G$13)</f>
        <v>1</v>
      </c>
      <c r="T21" s="85" t="str">
        <f>IF('Pollas Fase de Grupos'!V21&gt;'Pollas Fase de Grupos'!W21,'Pollas Fase de Grupos'!$V$2,IF('Pollas Fase de Grupos'!W21&gt;'Pollas Fase de Grupos'!V21,'Pollas Fase de Grupos'!$W$2,"EMPATE"))</f>
        <v>EMPATE</v>
      </c>
      <c r="U21" s="86">
        <f>PUNTAJE_GANADORES('Pollas Fase de Grupos'!V21,'Resultados Oficiales Fase de Gr'!$D$14,'Pollas Fase de Grupos'!W21,'Resultados Oficiales Fase de Gr'!$E$14,T21,'Resultados Oficiales Fase de Gr'!$G$14)</f>
        <v>0</v>
      </c>
      <c r="V21" s="85" t="str">
        <f>IF('Pollas Fase de Grupos'!X21&gt;'Pollas Fase de Grupos'!Y21,'Pollas Fase de Grupos'!$X$2,IF('Pollas Fase de Grupos'!Y21&gt;'Pollas Fase de Grupos'!X21,'Pollas Fase de Grupos'!$Y$2,"EMPATE"))</f>
        <v>Inglaterra</v>
      </c>
      <c r="W21" s="85">
        <f>PUNTAJE_GANADORES('Pollas Fase de Grupos'!X21,'Resultados Oficiales Fase de Gr'!$D$15,'Pollas Fase de Grupos'!Y21,'Resultados Oficiales Fase de Gr'!$E$15,V21,'Resultados Oficiales Fase de Gr'!$G$15)</f>
        <v>3</v>
      </c>
      <c r="X21" s="85" t="str">
        <f>IF('Pollas Fase de Grupos'!Z21&gt;'Pollas Fase de Grupos'!AA21,'Pollas Fase de Grupos'!$Z$2,IF('Pollas Fase de Grupos'!AA21&gt;'Pollas Fase de Grupos'!Z21,'Pollas Fase de Grupos'!$AA$2,"EMPATE"))</f>
        <v>Estados Unidos</v>
      </c>
      <c r="Y21" s="87">
        <f>PUNTAJE_GANADORES('Pollas Fase de Grupos'!Z21,'Resultados Oficiales Fase de Gr'!$D$16,'Pollas Fase de Grupos'!AA21,'Resultados Oficiales Fase de Gr'!$E$16,X21,'Resultados Oficiales Fase de Gr'!$G$16)</f>
        <v>2</v>
      </c>
      <c r="Z21" s="85" t="str">
        <f>IF('Pollas Fase de Grupos'!AB21&gt;'Pollas Fase de Grupos'!AC21,'Pollas Fase de Grupos'!$AB$2,IF('Pollas Fase de Grupos'!AC21&gt;'Pollas Fase de Grupos'!AB21,'Pollas Fase de Grupos'!$AC$2,"EMPATE"))</f>
        <v>Argentina</v>
      </c>
      <c r="AA21" s="85">
        <f>PUNTAJE_GANADORES('Pollas Fase de Grupos'!AB21,'Resultados Oficiales Fase de Gr'!$D$19,'Pollas Fase de Grupos'!AC21,'Resultados Oficiales Fase de Gr'!$E$19,Z21,'Resultados Oficiales Fase de Gr'!$G$19)</f>
        <v>0</v>
      </c>
      <c r="AB21" s="85" t="str">
        <f>IF('Pollas Fase de Grupos'!AD21&gt;'Pollas Fase de Grupos'!AE21,'Pollas Fase de Grupos'!$AD$2,IF('Pollas Fase de Grupos'!AE21&gt;'Pollas Fase de Grupos'!AD21,'Pollas Fase de Grupos'!$AE$2,"EMPATE"))</f>
        <v>Polonia</v>
      </c>
      <c r="AC21" s="85">
        <f>PUNTAJE_GANADORES('Pollas Fase de Grupos'!AD21,'Resultados Oficiales Fase de Gr'!$D$20,'Pollas Fase de Grupos'!AE21,'Resultados Oficiales Fase de Gr'!$E$20,AB21,'Resultados Oficiales Fase de Gr'!$G$20)</f>
        <v>0</v>
      </c>
      <c r="AD21" s="85" t="str">
        <f>IF('Pollas Fase de Grupos'!AF21&gt;'Pollas Fase de Grupos'!AG21,'Pollas Fase de Grupos'!$AF$2,IF('Pollas Fase de Grupos'!AG21&gt;'Pollas Fase de Grupos'!AF21,'Pollas Fase de Grupos'!$AG$2,"EMPATE"))</f>
        <v>Argentina</v>
      </c>
      <c r="AE21" s="85">
        <f>PUNTAJE_GANADORES('Pollas Fase de Grupos'!AF21,'Resultados Oficiales Fase de Gr'!$D$21,'Pollas Fase de Grupos'!AG21,'Resultados Oficiales Fase de Gr'!$E$21,AD21,'Resultados Oficiales Fase de Gr'!$G$21)</f>
        <v>3</v>
      </c>
      <c r="AF21" s="85" t="str">
        <f>IF('Pollas Fase de Grupos'!AH21&gt;'Pollas Fase de Grupos'!AI21,'Pollas Fase de Grupos'!$AH$2,IF('Pollas Fase de Grupos'!AI21&gt;'Pollas Fase de Grupos'!AH21,'Pollas Fase de Grupos'!$AI$2,"EMPATE"))</f>
        <v>Polonia</v>
      </c>
      <c r="AG21" s="85">
        <f>PUNTAJE_GANADORES('Pollas Fase de Grupos'!AH21,'Resultados Oficiales Fase de Gr'!$D$22,'Pollas Fase de Grupos'!AI21,'Resultados Oficiales Fase de Gr'!$E$22,AF21,'Resultados Oficiales Fase de Gr'!$G$22)</f>
        <v>3</v>
      </c>
      <c r="AH21" s="85" t="str">
        <f>IF('Pollas Fase de Grupos'!AJ21&gt;'Pollas Fase de Grupos'!AK21,'Pollas Fase de Grupos'!$AJ$2,IF('Pollas Fase de Grupos'!AK21&gt;'Pollas Fase de Grupos'!AJ21,'Pollas Fase de Grupos'!$AK$2,"EMPATE"))</f>
        <v>Argentina</v>
      </c>
      <c r="AI21" s="85">
        <f>PUNTAJE_GANADORES('Pollas Fase de Grupos'!AJ21,'Resultados Oficiales Fase de Gr'!$D$23,'Pollas Fase de Grupos'!AK21,'Resultados Oficiales Fase de Gr'!$E$23,AH21,'Resultados Oficiales Fase de Gr'!$G$23)</f>
        <v>3</v>
      </c>
      <c r="AJ21" s="85" t="str">
        <f>IF('Pollas Fase de Grupos'!AL21&gt;'Pollas Fase de Grupos'!AM21,'Pollas Fase de Grupos'!$AL$2,IF('Pollas Fase de Grupos'!AM21&gt;'Pollas Fase de Grupos'!AL21,'Pollas Fase de Grupos'!$AM$2,"EMPATE"))</f>
        <v>Mexico</v>
      </c>
      <c r="AK21" s="85">
        <f>PUNTAJE_GANADORES('Pollas Fase de Grupos'!AL21,'Resultados Oficiales Fase de Gr'!$D$24,'Pollas Fase de Grupos'!AM21,'Resultados Oficiales Fase de Gr'!$E$24,AJ21,'Resultados Oficiales Fase de Gr'!$G$24)</f>
        <v>5</v>
      </c>
      <c r="AL21" s="85" t="str">
        <f>IF('Pollas Fase de Grupos'!AN21&gt;'Pollas Fase de Grupos'!AO21,'Pollas Fase de Grupos'!$AN$2,IF('Pollas Fase de Grupos'!AO21&gt;'Pollas Fase de Grupos'!AN21,'Pollas Fase de Grupos'!$AO$2,"EMPATE"))</f>
        <v>Francia</v>
      </c>
      <c r="AM21" s="85">
        <f>PUNTAJE_GANADORES('Pollas Fase de Grupos'!AN21,'Resultados Oficiales Fase de Gr'!$D$27,'Pollas Fase de Grupos'!AO21,'Resultados Oficiales Fase de Gr'!$E$27,AL21,'Resultados Oficiales Fase de Gr'!$G$27)</f>
        <v>3</v>
      </c>
      <c r="AN21" s="85" t="str">
        <f>IF('Pollas Fase de Grupos'!AP21&gt;'Pollas Fase de Grupos'!AQ21,'Pollas Fase de Grupos'!$AP$2,IF('Pollas Fase de Grupos'!AQ21&gt;'Pollas Fase de Grupos'!AP21,'Pollas Fase de Grupos'!$AQ$2,"EMPATE"))</f>
        <v>Dinamarca</v>
      </c>
      <c r="AO21" s="85">
        <f>PUNTAJE_GANADORES('Pollas Fase de Grupos'!AP21,'Resultados Oficiales Fase de Gr'!$D$28,'Pollas Fase de Grupos'!AQ21,'Resultados Oficiales Fase de Gr'!$E$28,AN21,'Resultados Oficiales Fase de Gr'!$G$28)</f>
        <v>0</v>
      </c>
      <c r="AP21" s="85" t="str">
        <f>IF('Pollas Fase de Grupos'!AR21&gt;'Pollas Fase de Grupos'!AS21,'Pollas Fase de Grupos'!$AR$2,IF('Pollas Fase de Grupos'!AS21&gt;'Pollas Fase de Grupos'!AR21,'Pollas Fase de Grupos'!$AS$2,"EMPATE"))</f>
        <v>Francia</v>
      </c>
      <c r="AQ21" s="85">
        <f>PUNTAJE_GANADORES('Pollas Fase de Grupos'!AR21,'Resultados Oficiales Fase de Gr'!$D$29,'Pollas Fase de Grupos'!AS21,'Resultados Oficiales Fase de Gr'!$E$29,AP21,'Resultados Oficiales Fase de Gr'!$G$29)</f>
        <v>3</v>
      </c>
      <c r="AR21" s="85" t="str">
        <f>IF('Pollas Fase de Grupos'!AT21&gt;'Pollas Fase de Grupos'!AU21,'Pollas Fase de Grupos'!$AT$2,IF('Pollas Fase de Grupos'!AU21&gt;'Pollas Fase de Grupos'!AT21,'Pollas Fase de Grupos'!$AU$2,"EMPATE"))</f>
        <v>EMPATE</v>
      </c>
      <c r="AS21" s="85">
        <f>PUNTAJE_GANADORES('Pollas Fase de Grupos'!AT21,'Resultados Oficiales Fase de Gr'!$D$30,'Pollas Fase de Grupos'!AU21,'Resultados Oficiales Fase de Gr'!$E$30,AR21,'Resultados Oficiales Fase de Gr'!$G$30)</f>
        <v>1</v>
      </c>
      <c r="AT21" s="85" t="str">
        <f>IF('Pollas Fase de Grupos'!AV21&gt;'Pollas Fase de Grupos'!AW21,'Pollas Fase de Grupos'!$AV$2,IF('Pollas Fase de Grupos'!AW21&gt;'Pollas Fase de Grupos'!AV21,'Pollas Fase de Grupos'!$AW$2,"EMPATE"))</f>
        <v>Francia</v>
      </c>
      <c r="AU21" s="85">
        <f>PUNTAJE_GANADORES('Pollas Fase de Grupos'!AV21,'Resultados Oficiales Fase de Gr'!$D$31,'Pollas Fase de Grupos'!AW21,'Resultados Oficiales Fase de Gr'!$E$31,AT21,'Resultados Oficiales Fase de Gr'!$G$31)</f>
        <v>0</v>
      </c>
      <c r="AV21" s="85" t="str">
        <f>IF('Pollas Fase de Grupos'!AX21&gt;'Pollas Fase de Grupos'!AY21,'Pollas Fase de Grupos'!$AX$2,IF('Pollas Fase de Grupos'!AY21&gt;'Pollas Fase de Grupos'!AX21,'Pollas Fase de Grupos'!$AY$2,"EMPATE"))</f>
        <v>Dinamarca</v>
      </c>
      <c r="AW21" s="85">
        <f>PUNTAJE_GANADORES('Pollas Fase de Grupos'!AX21,'Resultados Oficiales Fase de Gr'!$D$32,'Pollas Fase de Grupos'!AY21,'Resultados Oficiales Fase de Gr'!$E$32,AV21,'Resultados Oficiales Fase de Gr'!$G$32)</f>
        <v>1</v>
      </c>
      <c r="AX21" s="85" t="str">
        <f>IF('Pollas Fase de Grupos'!AZ21&gt;'Pollas Fase de Grupos'!BA21,'Pollas Fase de Grupos'!$AZ$2,IF('Pollas Fase de Grupos'!BA21&gt;'Pollas Fase de Grupos'!AZ21,'Pollas Fase de Grupos'!$BA$2,"EMPATE"))</f>
        <v>España</v>
      </c>
      <c r="AY21" s="85">
        <f>PUNTAJE_GANADORES('Pollas Fase de Grupos'!AZ21,'Resultados Oficiales Fase de Gr'!$D$35,'Pollas Fase de Grupos'!BA21,'Resultados Oficiales Fase de Gr'!$E$35,AX21,'Resultados Oficiales Fase de Gr'!$G$35)</f>
        <v>1</v>
      </c>
      <c r="AZ21" s="85" t="str">
        <f>IF('Pollas Fase de Grupos'!BB21&gt;'Pollas Fase de Grupos'!BC21,'Pollas Fase de Grupos'!$BB$2,IF('Pollas Fase de Grupos'!BC21&gt;'Pollas Fase de Grupos'!BB21,'Pollas Fase de Grupos'!$BC$2,"EMPATE"))</f>
        <v>EMPATE</v>
      </c>
      <c r="BA21" s="85">
        <f>PUNTAJE_GANADORES('Pollas Fase de Grupos'!BB21,'Resultados Oficiales Fase de Gr'!$D$36,'Pollas Fase de Grupos'!BC21,'Resultados Oficiales Fase de Gr'!$E$36,AZ21,'Resultados Oficiales Fase de Gr'!$G$36)</f>
        <v>1</v>
      </c>
      <c r="BB21" s="85" t="str">
        <f>IF('Pollas Fase de Grupos'!BD21&gt;'Pollas Fase de Grupos'!BE21,'Pollas Fase de Grupos'!$BD$2,IF('Pollas Fase de Grupos'!BE21&gt;'Pollas Fase de Grupos'!BD21,'Pollas Fase de Grupos'!$BE$2,"EMPATE"))</f>
        <v>Alemania</v>
      </c>
      <c r="BC21" s="85">
        <f>PUNTAJE_GANADORES('Pollas Fase de Grupos'!BD21,'Resultados Oficiales Fase de Gr'!$D$37,'Pollas Fase de Grupos'!BE21,'Resultados Oficiales Fase de Gr'!$E$37,BB21,'Resultados Oficiales Fase de Gr'!$G$37)</f>
        <v>0</v>
      </c>
      <c r="BD21" s="85" t="str">
        <f>IF('Pollas Fase de Grupos'!BF21&gt;'Pollas Fase de Grupos'!BG21,'Pollas Fase de Grupos'!$BF$2,IF('Pollas Fase de Grupos'!BG21&gt;'Pollas Fase de Grupos'!BF21,'Pollas Fase de Grupos'!$BG$2,"EMPATE"))</f>
        <v>EMPATE</v>
      </c>
      <c r="BE21" s="85">
        <f>PUNTAJE_GANADORES('Pollas Fase de Grupos'!BF21,'Resultados Oficiales Fase de Gr'!$D$38,'Pollas Fase de Grupos'!BG21,'Resultados Oficiales Fase de Gr'!$E$38,BD21,'Resultados Oficiales Fase de Gr'!$G$38)</f>
        <v>1</v>
      </c>
      <c r="BF21" s="85" t="str">
        <f>IF('Pollas Fase de Grupos'!BH21&gt;'Pollas Fase de Grupos'!BI21,'Pollas Fase de Grupos'!$BH$2,IF('Pollas Fase de Grupos'!BI21&gt;'Pollas Fase de Grupos'!BH21,'Pollas Fase de Grupos'!$BI$2,"EMPATE"))</f>
        <v>España</v>
      </c>
      <c r="BG21" s="85">
        <f>PUNTAJE_GANADORES('Pollas Fase de Grupos'!BH21,'Resultados Oficiales Fase de Gr'!$D$39,'Pollas Fase de Grupos'!BI21,'Resultados Oficiales Fase de Gr'!$E$39,BF21,'Resultados Oficiales Fase de Gr'!$G$39)</f>
        <v>0</v>
      </c>
      <c r="BH21" s="85" t="str">
        <f>IF('Pollas Fase de Grupos'!BJ21&gt;'Pollas Fase de Grupos'!BK21,'Pollas Fase de Grupos'!$BJ$2,IF('Pollas Fase de Grupos'!BK21&gt;'Pollas Fase de Grupos'!BJ21,'Pollas Fase de Grupos'!$BK$2,"EMPATE"))</f>
        <v>Alemania</v>
      </c>
      <c r="BI21" s="85">
        <f>PUNTAJE_GANADORES('Pollas Fase de Grupos'!BJ21,'Resultados Oficiales Fase de Gr'!$D$40,'Pollas Fase de Grupos'!BK21,'Resultados Oficiales Fase de Gr'!$E$40,BH21,'Resultados Oficiales Fase de Gr'!$G$40)</f>
        <v>2</v>
      </c>
      <c r="BJ21" s="85" t="str">
        <f>IF('Pollas Fase de Grupos'!BL21&gt;'Pollas Fase de Grupos'!BM21,'Pollas Fase de Grupos'!$BL$2,IF('Pollas Fase de Grupos'!BM21&gt;'Pollas Fase de Grupos'!BL21,'Pollas Fase de Grupos'!$BM$2,"EMPATE"))</f>
        <v>Canada</v>
      </c>
      <c r="BK21" s="85">
        <f>PUNTAJE_GANADORES('Pollas Fase de Grupos'!BL21,'Resultados Oficiales Fase de Gr'!$D$43,'Pollas Fase de Grupos'!BM21,'Resultados Oficiales Fase de Gr'!$E$43,BJ21,'Resultados Oficiales Fase de Gr'!$G$43)</f>
        <v>0</v>
      </c>
      <c r="BL21" s="85" t="str">
        <f>IF('Pollas Fase de Grupos'!BN21&gt;'Pollas Fase de Grupos'!BO21,'Pollas Fase de Grupos'!$BN$2,IF('Pollas Fase de Grupos'!BO21&gt;'Pollas Fase de Grupos'!BN21,'Pollas Fase de Grupos'!$BO$2,"EMPATE"))</f>
        <v>Croacia</v>
      </c>
      <c r="BM21" s="85">
        <f>PUNTAJE_GANADORES('Pollas Fase de Grupos'!BN21,'Resultados Oficiales Fase de Gr'!$D$44,'Pollas Fase de Grupos'!BO21,'Resultados Oficiales Fase de Gr'!$E$44,BL21,'Resultados Oficiales Fase de Gr'!$G$44)</f>
        <v>0</v>
      </c>
      <c r="BN21" s="85" t="str">
        <f>IF('Pollas Fase de Grupos'!BP21&gt;'Pollas Fase de Grupos'!BQ21,'Pollas Fase de Grupos'!$BP$2,IF('Pollas Fase de Grupos'!BQ21&gt;'Pollas Fase de Grupos'!BP21,'Pollas Fase de Grupos'!$BQ$2,"EMPATE"))</f>
        <v>Marruecos</v>
      </c>
      <c r="BO21" s="85">
        <f>PUNTAJE_GANADORES('Pollas Fase de Grupos'!BP21,'Resultados Oficiales Fase de Gr'!$D$45,'Pollas Fase de Grupos'!BQ21,'Resultados Oficiales Fase de Gr'!$E$45,BN21,'Resultados Oficiales Fase de Gr'!$G$45)</f>
        <v>3</v>
      </c>
      <c r="BP21" s="85" t="str">
        <f>IF('Pollas Fase de Grupos'!BR21&gt;'Pollas Fase de Grupos'!BS21,'Pollas Fase de Grupos'!$BR$2,IF('Pollas Fase de Grupos'!BS21&gt;'Pollas Fase de Grupos'!BR21,'Pollas Fase de Grupos'!$BS$2,"EMPATE"))</f>
        <v>EMPATE</v>
      </c>
      <c r="BQ21" s="85">
        <f>PUNTAJE_GANADORES('Pollas Fase de Grupos'!BR21,'Resultados Oficiales Fase de Gr'!$D$46,'Pollas Fase de Grupos'!BS21,'Resultados Oficiales Fase de Gr'!$E$46,BP21,'Resultados Oficiales Fase de Gr'!$G$46)</f>
        <v>0</v>
      </c>
      <c r="BR21" s="85" t="str">
        <f>IF('Pollas Fase de Grupos'!BT21&gt;'Pollas Fase de Grupos'!BU21,'Pollas Fase de Grupos'!$BT$2,IF('Pollas Fase de Grupos'!BU21&gt;'Pollas Fase de Grupos'!BT21,'Pollas Fase de Grupos'!$BU$2,"EMPATE"))</f>
        <v>Croacia</v>
      </c>
      <c r="BS21" s="85">
        <f>PUNTAJE_GANADORES('Pollas Fase de Grupos'!BT21,'Resultados Oficiales Fase de Gr'!$D$47,'Pollas Fase de Grupos'!BU21,'Resultados Oficiales Fase de Gr'!$E$47,BR21,'Resultados Oficiales Fase de Gr'!$G$47)</f>
        <v>0</v>
      </c>
      <c r="BT21" s="85" t="str">
        <f>IF('Pollas Fase de Grupos'!BV21&gt;'Pollas Fase de Grupos'!BW21,'Pollas Fase de Grupos'!$BV$2,IF('Pollas Fase de Grupos'!BW21&gt;'Pollas Fase de Grupos'!BV21,'Pollas Fase de Grupos'!$BW$2,"EMPATE"))</f>
        <v>Marruecos</v>
      </c>
      <c r="BU21" s="85">
        <f>PUNTAJE_GANADORES('Pollas Fase de Grupos'!BV21,'Resultados Oficiales Fase de Gr'!$D$48,'Pollas Fase de Grupos'!BW21,'Resultados Oficiales Fase de Gr'!$E$48,BT21,'Resultados Oficiales Fase de Gr'!$G$48)</f>
        <v>3</v>
      </c>
      <c r="BV21" s="85" t="str">
        <f>IF('Pollas Fase de Grupos'!BX21&gt;'Pollas Fase de Grupos'!BY21,'Pollas Fase de Grupos'!$BX$2,IF('Pollas Fase de Grupos'!BY21&gt;'Pollas Fase de Grupos'!BX21,'Pollas Fase de Grupos'!$BY$2,"EMPATE"))</f>
        <v>Brasil</v>
      </c>
      <c r="BW21" s="85">
        <f>PUNTAJE_GANADORES('Pollas Fase de Grupos'!BX21,'Resultados Oficiales Fase de Gr'!$D$51,'Pollas Fase de Grupos'!BY21,'Resultados Oficiales Fase de Gr'!$E$51,BV21,'Resultados Oficiales Fase de Gr'!$G$51)</f>
        <v>3</v>
      </c>
      <c r="BX21" s="85" t="str">
        <f>IF('Pollas Fase de Grupos'!BZ21&gt;'Pollas Fase de Grupos'!CA21,'Pollas Fase de Grupos'!$BZ$2,IF('Pollas Fase de Grupos'!CA21&gt;'Pollas Fase de Grupos'!BZ21,'Pollas Fase de Grupos'!$CA$2,"EMPATE"))</f>
        <v>EMPATE</v>
      </c>
      <c r="BY21" s="85">
        <f>PUNTAJE_GANADORES('Pollas Fase de Grupos'!BZ21,'Resultados Oficiales Fase de Gr'!$D$52,'Pollas Fase de Grupos'!CA21,'Resultados Oficiales Fase de Gr'!$E$52,BX21,'Resultados Oficiales Fase de Gr'!$G$52)</f>
        <v>1</v>
      </c>
      <c r="BZ21" s="85" t="str">
        <f>IF('Pollas Fase de Grupos'!CB21&gt;'Pollas Fase de Grupos'!CC21,'Pollas Fase de Grupos'!$CB$2,IF('Pollas Fase de Grupos'!CC21&gt;'Pollas Fase de Grupos'!CB21,'Pollas Fase de Grupos'!$CC$2,"EMPATE"))</f>
        <v>Brasil</v>
      </c>
      <c r="CA21" s="85">
        <f>PUNTAJE_GANADORES('Pollas Fase de Grupos'!CB21,'Resultados Oficiales Fase de Gr'!$D$53,'Pollas Fase de Grupos'!CC21,'Resultados Oficiales Fase de Gr'!$E$53,BZ21,'Resultados Oficiales Fase de Gr'!$G$53)</f>
        <v>3</v>
      </c>
      <c r="CB21" s="85" t="str">
        <f>IF('Pollas Fase de Grupos'!CD21&gt;'Pollas Fase de Grupos'!CE21,'Pollas Fase de Grupos'!$CD$2,IF('Pollas Fase de Grupos'!CE21&gt;'Pollas Fase de Grupos'!CD21,'Pollas Fase de Grupos'!$CE$2,"EMPATE"))</f>
        <v>Camerun</v>
      </c>
      <c r="CC21" s="85">
        <f>PUNTAJE_GANADORES('Pollas Fase de Grupos'!CD21,'Resultados Oficiales Fase de Gr'!$D$54,'Pollas Fase de Grupos'!CE21,'Resultados Oficiales Fase de Gr'!$E$54,CB21,'Resultados Oficiales Fase de Gr'!$G$54)</f>
        <v>0</v>
      </c>
      <c r="CD21" s="85" t="str">
        <f>IF('Pollas Fase de Grupos'!CF21&gt;'Pollas Fase de Grupos'!CG21,'Pollas Fase de Grupos'!$CF$2,IF('Pollas Fase de Grupos'!CG21&gt;'Pollas Fase de Grupos'!CF21,'Pollas Fase de Grupos'!$CG$2,"EMPATE"))</f>
        <v>Brasil</v>
      </c>
      <c r="CE21" s="85">
        <f>PUNTAJE_GANADORES('Pollas Fase de Grupos'!CF21,'Resultados Oficiales Fase de Gr'!$D$55,'Pollas Fase de Grupos'!CG21,'Resultados Oficiales Fase de Gr'!$E$55,CD21,'Resultados Oficiales Fase de Gr'!$G$55)</f>
        <v>1</v>
      </c>
      <c r="CF21" s="85" t="str">
        <f>IF('Pollas Fase de Grupos'!CH21&gt;'Pollas Fase de Grupos'!CI21,'Pollas Fase de Grupos'!$CH$2,IF('Pollas Fase de Grupos'!CI21&gt;'Pollas Fase de Grupos'!CH21,'Pollas Fase de Grupos'!$CI$2,"EMPATE"))</f>
        <v>Serbia</v>
      </c>
      <c r="CG21" s="85">
        <f>PUNTAJE_GANADORES('Pollas Fase de Grupos'!CH21,'Resultados Oficiales Fase de Gr'!$D$56,'Pollas Fase de Grupos'!CI21,'Resultados Oficiales Fase de Gr'!$E$56,CF21,'Resultados Oficiales Fase de Gr'!$G$56)</f>
        <v>1</v>
      </c>
      <c r="CH21" s="85" t="str">
        <f>IF('Pollas Fase de Grupos'!CJ21&gt;'Pollas Fase de Grupos'!CK21,'Pollas Fase de Grupos'!$CJ$2,IF('Pollas Fase de Grupos'!CK21&gt;'Pollas Fase de Grupos'!CJ21,'Pollas Fase de Grupos'!$CK$2,"EMPATE"))</f>
        <v>Portugal</v>
      </c>
      <c r="CI21" s="85">
        <f>PUNTAJE_GANADORES('Pollas Fase de Grupos'!CJ21,'Resultados Oficiales Fase de Gr'!$D$59,'Pollas Fase de Grupos'!CK21,'Resultados Oficiales Fase de Gr'!$E$59,CH21,'Resultados Oficiales Fase de Gr'!$G$59)</f>
        <v>2</v>
      </c>
      <c r="CJ21" s="85" t="str">
        <f>IF('Pollas Fase de Grupos'!CL21&gt;'Pollas Fase de Grupos'!CM21,'Pollas Fase de Grupos'!$CL$2,IF('Pollas Fase de Grupos'!CM21&gt;'Pollas Fase de Grupos'!CL21,'Pollas Fase de Grupos'!$CM$2,"EMPATE"))</f>
        <v>EMPATE</v>
      </c>
      <c r="CK21" s="85">
        <f>PUNTAJE_GANADORES('Pollas Fase de Grupos'!CL21,'Resultados Oficiales Fase de Gr'!$D$60,'Pollas Fase de Grupos'!CM21,'Resultados Oficiales Fase de Gr'!$E$60,CJ21,'Resultados Oficiales Fase de Gr'!$G$60)</f>
        <v>1</v>
      </c>
      <c r="CL21" s="85" t="str">
        <f>IF('Pollas Fase de Grupos'!CN21&gt;'Pollas Fase de Grupos'!CO21,'Pollas Fase de Grupos'!$CN$2,IF('Pollas Fase de Grupos'!CO21&gt;'Pollas Fase de Grupos'!CN21,'Pollas Fase de Grupos'!$CO$2,"EMPATE"))</f>
        <v>EMPATE</v>
      </c>
      <c r="CM21" s="85">
        <f>PUNTAJE_GANADORES('Pollas Fase de Grupos'!CN21,'Resultados Oficiales Fase de Gr'!$D$61,'Pollas Fase de Grupos'!CO21,'Resultados Oficiales Fase de Gr'!$E$61,CL21,'Resultados Oficiales Fase de Gr'!$G$61)</f>
        <v>0</v>
      </c>
      <c r="CN21" s="85" t="str">
        <f>IF('Pollas Fase de Grupos'!CP21&gt;'Pollas Fase de Grupos'!CQ21,'Pollas Fase de Grupos'!$CP$2,IF('Pollas Fase de Grupos'!CQ21&gt;'Pollas Fase de Grupos'!CP21,'Pollas Fase de Grupos'!$CQ$2,"EMPATE"))</f>
        <v>Ghana</v>
      </c>
      <c r="CO21" s="85">
        <f>PUNTAJE_GANADORES('Pollas Fase de Grupos'!CP21,'Resultados Oficiales Fase de Gr'!$D$62,'Pollas Fase de Grupos'!CQ21,'Resultados Oficiales Fase de Gr'!$E$62,CN21,'Resultados Oficiales Fase de Gr'!$G$62)</f>
        <v>2</v>
      </c>
      <c r="CP21" s="85" t="str">
        <f>IF('Pollas Fase de Grupos'!CR21&gt;'Pollas Fase de Grupos'!CS21,'Pollas Fase de Grupos'!$CR$2,IF('Pollas Fase de Grupos'!CS21&gt;'Pollas Fase de Grupos'!CR21,'Pollas Fase de Grupos'!$CS$2,"EMPATE"))</f>
        <v>EMPATE</v>
      </c>
      <c r="CQ21" s="85">
        <f>PUNTAJE_GANADORES('Pollas Fase de Grupos'!CR21,'Resultados Oficiales Fase de Gr'!$D$63,'Pollas Fase de Grupos'!CS21,'Resultados Oficiales Fase de Gr'!$E$63,CP21,'Resultados Oficiales Fase de Gr'!$G$63)</f>
        <v>1</v>
      </c>
      <c r="CR21" s="85" t="str">
        <f>IF('Pollas Fase de Grupos'!CT21&gt;'Pollas Fase de Grupos'!CU21,'Pollas Fase de Grupos'!$CT$2,IF('Pollas Fase de Grupos'!CU21&gt;'Pollas Fase de Grupos'!CT21,'Pollas Fase de Grupos'!$CU$2,"EMPATE"))</f>
        <v>Uruguay</v>
      </c>
      <c r="CS21" s="85">
        <f>PUNTAJE_GANADORES('Pollas Fase de Grupos'!CT21,'Resultados Oficiales Fase de Gr'!$D$64,'Pollas Fase de Grupos'!CU21,'Resultados Oficiales Fase de Gr'!$E$64,CR21,'Resultados Oficiales Fase de Gr'!$G$64)</f>
        <v>3</v>
      </c>
      <c r="CT21" s="4">
        <f t="shared" si="1"/>
        <v>72</v>
      </c>
      <c r="CU21" s="17">
        <v>51.0</v>
      </c>
      <c r="CV21" s="3">
        <f t="shared" si="2"/>
        <v>79</v>
      </c>
    </row>
    <row r="22">
      <c r="A22" s="3" t="str">
        <f>'Pollas Fase de Grupos'!CV22</f>
        <v>Qatarsis 1.0</v>
      </c>
      <c r="B22" s="4" t="str">
        <f>IF('Pollas Fase de Grupos'!D22&gt;'Pollas Fase de Grupos'!E22,'Pollas Fase de Grupos'!$D$2,IF('Pollas Fase de Grupos'!E22&gt;'Pollas Fase de Grupos'!D22,'Pollas Fase de Grupos'!$E$2,"EMPATE"))</f>
        <v>Ecuador</v>
      </c>
      <c r="C22" s="4">
        <f>PUNTAJE_GANADORES('Pollas Fase de Grupos'!D22,'Resultados Oficiales Fase de Gr'!$D$3,'Pollas Fase de Grupos'!E22,'Resultados Oficiales Fase de Gr'!$E$3,B22,'Resultados Oficiales Fase de Gr'!$G$3)</f>
        <v>3</v>
      </c>
      <c r="D22" s="85" t="str">
        <f>IF('Pollas Fase de Grupos'!F22&gt;'Pollas Fase de Grupos'!G22,'Pollas Fase de Grupos'!$F$2,IF('Pollas Fase de Grupos'!G22&gt;'Pollas Fase de Grupos'!F22,'Pollas Fase de Grupos'!$G$2,"EMPATE"))</f>
        <v>Paises Bajos</v>
      </c>
      <c r="E22" s="4">
        <f>PUNTAJE_GANADORES('Pollas Fase de Grupos'!F22,'Resultados Oficiales Fase de Gr'!$D$4,'Pollas Fase de Grupos'!G22,'Resultados Oficiales Fase de Gr'!$E$4,D22,'Resultados Oficiales Fase de Gr'!$G$4)</f>
        <v>2</v>
      </c>
      <c r="F22" s="85" t="str">
        <f>IF('Pollas Fase de Grupos'!H22&gt;'Pollas Fase de Grupos'!I22,'Pollas Fase de Grupos'!$H$2,IF('Pollas Fase de Grupos'!I22&gt;'Pollas Fase de Grupos'!H22,'Pollas Fase de Grupos'!$I$2,"EMPATE"))</f>
        <v>EMPATE</v>
      </c>
      <c r="G22" s="4">
        <f>PUNTAJE_GANADORES('Pollas Fase de Grupos'!H22,'Resultados Oficiales Fase de Gr'!$D$5,'Pollas Fase de Grupos'!I22,'Resultados Oficiales Fase de Gr'!$E$5,F22,'Resultados Oficiales Fase de Gr'!$G$5)</f>
        <v>0</v>
      </c>
      <c r="H22" s="85" t="str">
        <f>IF('Pollas Fase de Grupos'!J22&gt;'Pollas Fase de Grupos'!K22,'Pollas Fase de Grupos'!$J$2,IF('Pollas Fase de Grupos'!K22&gt;'Pollas Fase de Grupos'!J22,'Pollas Fase de Grupos'!$K$2,"EMPATE"))</f>
        <v>Paises Bajos</v>
      </c>
      <c r="I22" s="4">
        <f>PUNTAJE_GANADORES('Pollas Fase de Grupos'!J22,'Resultados Oficiales Fase de Gr'!$D$6,'Pollas Fase de Grupos'!K22,'Resultados Oficiales Fase de Gr'!$E$6,H22,'Resultados Oficiales Fase de Gr'!$G$6)</f>
        <v>0</v>
      </c>
      <c r="J22" s="85" t="str">
        <f>IF('Pollas Fase de Grupos'!L22&gt;'Pollas Fase de Grupos'!M22,'Pollas Fase de Grupos'!$L$2,IF('Pollas Fase de Grupos'!M22&gt;'Pollas Fase de Grupos'!L22,'Pollas Fase de Grupos'!$M$2,"EMPATE"))</f>
        <v>Paises Bajos</v>
      </c>
      <c r="K22" s="4">
        <f>PUNTAJE_GANADORES('Pollas Fase de Grupos'!L22,'Resultados Oficiales Fase de Gr'!$D$7,'Pollas Fase de Grupos'!M22,'Resultados Oficiales Fase de Gr'!$E$7,J22,'Resultados Oficiales Fase de Gr'!$G$7)</f>
        <v>3</v>
      </c>
      <c r="L22" s="85" t="str">
        <f>IF('Pollas Fase de Grupos'!N22&gt;'Pollas Fase de Grupos'!O22,'Pollas Fase de Grupos'!$N$2,IF('Pollas Fase de Grupos'!O22&gt;'Pollas Fase de Grupos'!N22,'Pollas Fase de Grupos'!$O$2,"EMPATE"))</f>
        <v>Ecuador</v>
      </c>
      <c r="M22" s="85">
        <f>PUNTAJE_GANADORES('Pollas Fase de Grupos'!N22,'Resultados Oficiales Fase de Gr'!$D$8,'Pollas Fase de Grupos'!O22,'Resultados Oficiales Fase de Gr'!$E$8,L22,'Resultados Oficiales Fase de Gr'!$G$8)</f>
        <v>0</v>
      </c>
      <c r="N22" s="85" t="str">
        <f>IF('Pollas Fase de Grupos'!P22&gt;'Pollas Fase de Grupos'!Q22,'Pollas Fase de Grupos'!$P$2,IF('Pollas Fase de Grupos'!Q22&gt;'Pollas Fase de Grupos'!P22,'Pollas Fase de Grupos'!$Q$2,"EMPATE"))</f>
        <v>Inglaterra</v>
      </c>
      <c r="O22" s="85">
        <f>PUNTAJE_GANADORES('Pollas Fase de Grupos'!P22,'Resultados Oficiales Fase de Gr'!$D$11,'Pollas Fase de Grupos'!Q22,'Resultados Oficiales Fase de Gr'!$E$11,N22,'Resultados Oficiales Fase de Gr'!$G$11)</f>
        <v>2</v>
      </c>
      <c r="P22" s="4" t="str">
        <f>IF('Pollas Fase de Grupos'!R22&gt;'Pollas Fase de Grupos'!S22,'Pollas Fase de Grupos'!$R$2,IF('Pollas Fase de Grupos'!S22&gt;'Pollas Fase de Grupos'!R22,'Pollas Fase de Grupos'!$S$2,"EMPATE"))</f>
        <v>EMPATE</v>
      </c>
      <c r="Q22" s="85">
        <f>PUNTAJE_GANADORES('Pollas Fase de Grupos'!R22,'Resultados Oficiales Fase de Gr'!$D$12,'Pollas Fase de Grupos'!S22,'Resultados Oficiales Fase de Gr'!$E$12,P22,'Resultados Oficiales Fase de Gr'!$G$12)</f>
        <v>1</v>
      </c>
      <c r="R22" s="85" t="str">
        <f>IF('Pollas Fase de Grupos'!T22&gt;'Pollas Fase de Grupos'!U22,'Pollas Fase de Grupos'!$T$2,IF('Pollas Fase de Grupos'!U22&gt;'Pollas Fase de Grupos'!T22,'Pollas Fase de Grupos'!$U$2,"EMPATE"))</f>
        <v>Inglaterra</v>
      </c>
      <c r="S22" s="4">
        <f>PUNTAJE_GANADORES('Pollas Fase de Grupos'!T22,'Resultados Oficiales Fase de Gr'!$D$13,'Pollas Fase de Grupos'!U22,'Resultados Oficiales Fase de Gr'!$E$13,R22,'Resultados Oficiales Fase de Gr'!$G$13)</f>
        <v>0</v>
      </c>
      <c r="T22" s="85" t="str">
        <f>IF('Pollas Fase de Grupos'!V22&gt;'Pollas Fase de Grupos'!W22,'Pollas Fase de Grupos'!$V$2,IF('Pollas Fase de Grupos'!W22&gt;'Pollas Fase de Grupos'!V22,'Pollas Fase de Grupos'!$W$2,"EMPATE"))</f>
        <v>Iran</v>
      </c>
      <c r="U22" s="86">
        <f>PUNTAJE_GANADORES('Pollas Fase de Grupos'!V22,'Resultados Oficiales Fase de Gr'!$D$14,'Pollas Fase de Grupos'!W22,'Resultados Oficiales Fase de Gr'!$E$14,T22,'Resultados Oficiales Fase de Gr'!$G$14)</f>
        <v>3</v>
      </c>
      <c r="V22" s="85" t="str">
        <f>IF('Pollas Fase de Grupos'!X22&gt;'Pollas Fase de Grupos'!Y22,'Pollas Fase de Grupos'!$X$2,IF('Pollas Fase de Grupos'!Y22&gt;'Pollas Fase de Grupos'!X22,'Pollas Fase de Grupos'!$Y$2,"EMPATE"))</f>
        <v>Inglaterra</v>
      </c>
      <c r="W22" s="85">
        <f>PUNTAJE_GANADORES('Pollas Fase de Grupos'!X22,'Resultados Oficiales Fase de Gr'!$D$15,'Pollas Fase de Grupos'!Y22,'Resultados Oficiales Fase de Gr'!$E$15,V22,'Resultados Oficiales Fase de Gr'!$G$15)</f>
        <v>3</v>
      </c>
      <c r="X22" s="85" t="str">
        <f>IF('Pollas Fase de Grupos'!Z22&gt;'Pollas Fase de Grupos'!AA22,'Pollas Fase de Grupos'!$Z$2,IF('Pollas Fase de Grupos'!AA22&gt;'Pollas Fase de Grupos'!Z22,'Pollas Fase de Grupos'!$AA$2,"EMPATE"))</f>
        <v>EMPATE</v>
      </c>
      <c r="Y22" s="87">
        <f>PUNTAJE_GANADORES('Pollas Fase de Grupos'!Z22,'Resultados Oficiales Fase de Gr'!$D$16,'Pollas Fase de Grupos'!AA22,'Resultados Oficiales Fase de Gr'!$E$16,X22,'Resultados Oficiales Fase de Gr'!$G$16)</f>
        <v>0</v>
      </c>
      <c r="Z22" s="85" t="str">
        <f>IF('Pollas Fase de Grupos'!AB22&gt;'Pollas Fase de Grupos'!AC22,'Pollas Fase de Grupos'!$AB$2,IF('Pollas Fase de Grupos'!AC22&gt;'Pollas Fase de Grupos'!AB22,'Pollas Fase de Grupos'!$AC$2,"EMPATE"))</f>
        <v>Argentina</v>
      </c>
      <c r="AA22" s="85">
        <f>PUNTAJE_GANADORES('Pollas Fase de Grupos'!AB22,'Resultados Oficiales Fase de Gr'!$D$19,'Pollas Fase de Grupos'!AC22,'Resultados Oficiales Fase de Gr'!$E$19,Z22,'Resultados Oficiales Fase de Gr'!$G$19)</f>
        <v>0</v>
      </c>
      <c r="AB22" s="85" t="str">
        <f>IF('Pollas Fase de Grupos'!AD22&gt;'Pollas Fase de Grupos'!AE22,'Pollas Fase de Grupos'!$AD$2,IF('Pollas Fase de Grupos'!AE22&gt;'Pollas Fase de Grupos'!AD22,'Pollas Fase de Grupos'!$AE$2,"EMPATE"))</f>
        <v>Mexico</v>
      </c>
      <c r="AC22" s="85">
        <f>PUNTAJE_GANADORES('Pollas Fase de Grupos'!AD22,'Resultados Oficiales Fase de Gr'!$D$20,'Pollas Fase de Grupos'!AE22,'Resultados Oficiales Fase de Gr'!$E$20,AB22,'Resultados Oficiales Fase de Gr'!$G$20)</f>
        <v>0</v>
      </c>
      <c r="AD22" s="85" t="str">
        <f>IF('Pollas Fase de Grupos'!AF22&gt;'Pollas Fase de Grupos'!AG22,'Pollas Fase de Grupos'!$AF$2,IF('Pollas Fase de Grupos'!AG22&gt;'Pollas Fase de Grupos'!AF22,'Pollas Fase de Grupos'!$AG$2,"EMPATE"))</f>
        <v>EMPATE</v>
      </c>
      <c r="AE22" s="85">
        <f>PUNTAJE_GANADORES('Pollas Fase de Grupos'!AF22,'Resultados Oficiales Fase de Gr'!$D$21,'Pollas Fase de Grupos'!AG22,'Resultados Oficiales Fase de Gr'!$E$21,AD22,'Resultados Oficiales Fase de Gr'!$G$21)</f>
        <v>1</v>
      </c>
      <c r="AF22" s="85" t="str">
        <f>IF('Pollas Fase de Grupos'!AH22&gt;'Pollas Fase de Grupos'!AI22,'Pollas Fase de Grupos'!$AH$2,IF('Pollas Fase de Grupos'!AI22&gt;'Pollas Fase de Grupos'!AH22,'Pollas Fase de Grupos'!$AI$2,"EMPATE"))</f>
        <v>Polonia</v>
      </c>
      <c r="AG22" s="85">
        <f>PUNTAJE_GANADORES('Pollas Fase de Grupos'!AH22,'Resultados Oficiales Fase de Gr'!$D$22,'Pollas Fase de Grupos'!AI22,'Resultados Oficiales Fase de Gr'!$E$22,AF22,'Resultados Oficiales Fase de Gr'!$G$22)</f>
        <v>3</v>
      </c>
      <c r="AH22" s="85" t="str">
        <f>IF('Pollas Fase de Grupos'!AJ22&gt;'Pollas Fase de Grupos'!AK22,'Pollas Fase de Grupos'!$AJ$2,IF('Pollas Fase de Grupos'!AK22&gt;'Pollas Fase de Grupos'!AJ22,'Pollas Fase de Grupos'!$AK$2,"EMPATE"))</f>
        <v>EMPATE</v>
      </c>
      <c r="AI22" s="85">
        <f>PUNTAJE_GANADORES('Pollas Fase de Grupos'!AJ22,'Resultados Oficiales Fase de Gr'!$D$23,'Pollas Fase de Grupos'!AK22,'Resultados Oficiales Fase de Gr'!$E$23,AH22,'Resultados Oficiales Fase de Gr'!$G$23)</f>
        <v>1</v>
      </c>
      <c r="AJ22" s="85" t="str">
        <f>IF('Pollas Fase de Grupos'!AL22&gt;'Pollas Fase de Grupos'!AM22,'Pollas Fase de Grupos'!$AL$2,IF('Pollas Fase de Grupos'!AM22&gt;'Pollas Fase de Grupos'!AL22,'Pollas Fase de Grupos'!$AM$2,"EMPATE"))</f>
        <v>Mexico</v>
      </c>
      <c r="AK22" s="85">
        <f>PUNTAJE_GANADORES('Pollas Fase de Grupos'!AL22,'Resultados Oficiales Fase de Gr'!$D$24,'Pollas Fase de Grupos'!AM22,'Resultados Oficiales Fase de Gr'!$E$24,AJ22,'Resultados Oficiales Fase de Gr'!$G$24)</f>
        <v>5</v>
      </c>
      <c r="AL22" s="85" t="str">
        <f>IF('Pollas Fase de Grupos'!AN22&gt;'Pollas Fase de Grupos'!AO22,'Pollas Fase de Grupos'!$AN$2,IF('Pollas Fase de Grupos'!AO22&gt;'Pollas Fase de Grupos'!AN22,'Pollas Fase de Grupos'!$AO$2,"EMPATE"))</f>
        <v>Francia</v>
      </c>
      <c r="AM22" s="85">
        <f>PUNTAJE_GANADORES('Pollas Fase de Grupos'!AN22,'Resultados Oficiales Fase de Gr'!$D$27,'Pollas Fase de Grupos'!AO22,'Resultados Oficiales Fase de Gr'!$E$27,AL22,'Resultados Oficiales Fase de Gr'!$G$27)</f>
        <v>2</v>
      </c>
      <c r="AN22" s="85" t="str">
        <f>IF('Pollas Fase de Grupos'!AP22&gt;'Pollas Fase de Grupos'!AQ22,'Pollas Fase de Grupos'!$AP$2,IF('Pollas Fase de Grupos'!AQ22&gt;'Pollas Fase de Grupos'!AP22,'Pollas Fase de Grupos'!$AQ$2,"EMPATE"))</f>
        <v>Dinamarca</v>
      </c>
      <c r="AO22" s="85">
        <f>PUNTAJE_GANADORES('Pollas Fase de Grupos'!AP22,'Resultados Oficiales Fase de Gr'!$D$28,'Pollas Fase de Grupos'!AQ22,'Resultados Oficiales Fase de Gr'!$E$28,AN22,'Resultados Oficiales Fase de Gr'!$G$28)</f>
        <v>0</v>
      </c>
      <c r="AP22" s="85" t="str">
        <f>IF('Pollas Fase de Grupos'!AR22&gt;'Pollas Fase de Grupos'!AS22,'Pollas Fase de Grupos'!$AR$2,IF('Pollas Fase de Grupos'!AS22&gt;'Pollas Fase de Grupos'!AR22,'Pollas Fase de Grupos'!$AS$2,"EMPATE"))</f>
        <v>Dinamarca</v>
      </c>
      <c r="AQ22" s="85">
        <f>PUNTAJE_GANADORES('Pollas Fase de Grupos'!AR22,'Resultados Oficiales Fase de Gr'!$D$29,'Pollas Fase de Grupos'!AS22,'Resultados Oficiales Fase de Gr'!$E$29,AP22,'Resultados Oficiales Fase de Gr'!$G$29)</f>
        <v>0</v>
      </c>
      <c r="AR22" s="85" t="str">
        <f>IF('Pollas Fase de Grupos'!AT22&gt;'Pollas Fase de Grupos'!AU22,'Pollas Fase de Grupos'!$AT$2,IF('Pollas Fase de Grupos'!AU22&gt;'Pollas Fase de Grupos'!AT22,'Pollas Fase de Grupos'!$AU$2,"EMPATE"))</f>
        <v>Tunez</v>
      </c>
      <c r="AS22" s="85">
        <f>PUNTAJE_GANADORES('Pollas Fase de Grupos'!AT22,'Resultados Oficiales Fase de Gr'!$D$30,'Pollas Fase de Grupos'!AU22,'Resultados Oficiales Fase de Gr'!$E$30,AR22,'Resultados Oficiales Fase de Gr'!$G$30)</f>
        <v>1</v>
      </c>
      <c r="AT22" s="85" t="str">
        <f>IF('Pollas Fase de Grupos'!AV22&gt;'Pollas Fase de Grupos'!AW22,'Pollas Fase de Grupos'!$AV$2,IF('Pollas Fase de Grupos'!AW22&gt;'Pollas Fase de Grupos'!AV22,'Pollas Fase de Grupos'!$AW$2,"EMPATE"))</f>
        <v>Francia</v>
      </c>
      <c r="AU22" s="85">
        <f>PUNTAJE_GANADORES('Pollas Fase de Grupos'!AV22,'Resultados Oficiales Fase de Gr'!$D$31,'Pollas Fase de Grupos'!AW22,'Resultados Oficiales Fase de Gr'!$E$31,AT22,'Resultados Oficiales Fase de Gr'!$G$31)</f>
        <v>1</v>
      </c>
      <c r="AV22" s="85" t="str">
        <f>IF('Pollas Fase de Grupos'!AX22&gt;'Pollas Fase de Grupos'!AY22,'Pollas Fase de Grupos'!$AX$2,IF('Pollas Fase de Grupos'!AY22&gt;'Pollas Fase de Grupos'!AX22,'Pollas Fase de Grupos'!$AY$2,"EMPATE"))</f>
        <v>Dinamarca</v>
      </c>
      <c r="AW22" s="85">
        <f>PUNTAJE_GANADORES('Pollas Fase de Grupos'!AX22,'Resultados Oficiales Fase de Gr'!$D$32,'Pollas Fase de Grupos'!AY22,'Resultados Oficiales Fase de Gr'!$E$32,AV22,'Resultados Oficiales Fase de Gr'!$G$32)</f>
        <v>0</v>
      </c>
      <c r="AX22" s="85" t="str">
        <f>IF('Pollas Fase de Grupos'!AZ22&gt;'Pollas Fase de Grupos'!BA22,'Pollas Fase de Grupos'!$AZ$2,IF('Pollas Fase de Grupos'!BA22&gt;'Pollas Fase de Grupos'!AZ22,'Pollas Fase de Grupos'!$BA$2,"EMPATE"))</f>
        <v>EMPATE</v>
      </c>
      <c r="AY22" s="85">
        <f>PUNTAJE_GANADORES('Pollas Fase de Grupos'!AZ22,'Resultados Oficiales Fase de Gr'!$D$35,'Pollas Fase de Grupos'!BA22,'Resultados Oficiales Fase de Gr'!$E$35,AX22,'Resultados Oficiales Fase de Gr'!$G$35)</f>
        <v>0</v>
      </c>
      <c r="AZ22" s="85" t="str">
        <f>IF('Pollas Fase de Grupos'!BB22&gt;'Pollas Fase de Grupos'!BC22,'Pollas Fase de Grupos'!$BB$2,IF('Pollas Fase de Grupos'!BC22&gt;'Pollas Fase de Grupos'!BB22,'Pollas Fase de Grupos'!$BC$2,"EMPATE"))</f>
        <v>Alemania</v>
      </c>
      <c r="BA22" s="85">
        <f>PUNTAJE_GANADORES('Pollas Fase de Grupos'!BB22,'Resultados Oficiales Fase de Gr'!$D$36,'Pollas Fase de Grupos'!BC22,'Resultados Oficiales Fase de Gr'!$E$36,AZ22,'Resultados Oficiales Fase de Gr'!$G$36)</f>
        <v>0</v>
      </c>
      <c r="BB22" s="85" t="str">
        <f>IF('Pollas Fase de Grupos'!BD22&gt;'Pollas Fase de Grupos'!BE22,'Pollas Fase de Grupos'!$BD$2,IF('Pollas Fase de Grupos'!BE22&gt;'Pollas Fase de Grupos'!BD22,'Pollas Fase de Grupos'!$BE$2,"EMPATE"))</f>
        <v>Alemania</v>
      </c>
      <c r="BC22" s="85">
        <f>PUNTAJE_GANADORES('Pollas Fase de Grupos'!BD22,'Resultados Oficiales Fase de Gr'!$D$37,'Pollas Fase de Grupos'!BE22,'Resultados Oficiales Fase de Gr'!$E$37,BB22,'Resultados Oficiales Fase de Gr'!$G$37)</f>
        <v>1</v>
      </c>
      <c r="BD22" s="85" t="str">
        <f>IF('Pollas Fase de Grupos'!BF22&gt;'Pollas Fase de Grupos'!BG22,'Pollas Fase de Grupos'!$BF$2,IF('Pollas Fase de Grupos'!BG22&gt;'Pollas Fase de Grupos'!BF22,'Pollas Fase de Grupos'!$BG$2,"EMPATE"))</f>
        <v>Costa Rica</v>
      </c>
      <c r="BE22" s="85">
        <f>PUNTAJE_GANADORES('Pollas Fase de Grupos'!BF22,'Resultados Oficiales Fase de Gr'!$D$38,'Pollas Fase de Grupos'!BG22,'Resultados Oficiales Fase de Gr'!$E$38,BD22,'Resultados Oficiales Fase de Gr'!$G$38)</f>
        <v>2</v>
      </c>
      <c r="BF22" s="85" t="str">
        <f>IF('Pollas Fase de Grupos'!BH22&gt;'Pollas Fase de Grupos'!BI22,'Pollas Fase de Grupos'!$BH$2,IF('Pollas Fase de Grupos'!BI22&gt;'Pollas Fase de Grupos'!BH22,'Pollas Fase de Grupos'!$BI$2,"EMPATE"))</f>
        <v>España</v>
      </c>
      <c r="BG22" s="85">
        <f>PUNTAJE_GANADORES('Pollas Fase de Grupos'!BH22,'Resultados Oficiales Fase de Gr'!$D$39,'Pollas Fase de Grupos'!BI22,'Resultados Oficiales Fase de Gr'!$E$39,BF22,'Resultados Oficiales Fase de Gr'!$G$39)</f>
        <v>0</v>
      </c>
      <c r="BH22" s="85" t="str">
        <f>IF('Pollas Fase de Grupos'!BJ22&gt;'Pollas Fase de Grupos'!BK22,'Pollas Fase de Grupos'!$BJ$2,IF('Pollas Fase de Grupos'!BK22&gt;'Pollas Fase de Grupos'!BJ22,'Pollas Fase de Grupos'!$BK$2,"EMPATE"))</f>
        <v>Alemania</v>
      </c>
      <c r="BI22" s="85">
        <f>PUNTAJE_GANADORES('Pollas Fase de Grupos'!BJ22,'Resultados Oficiales Fase de Gr'!$D$40,'Pollas Fase de Grupos'!BK22,'Resultados Oficiales Fase de Gr'!$E$40,BH22,'Resultados Oficiales Fase de Gr'!$G$40)</f>
        <v>2</v>
      </c>
      <c r="BJ22" s="85" t="str">
        <f>IF('Pollas Fase de Grupos'!BL22&gt;'Pollas Fase de Grupos'!BM22,'Pollas Fase de Grupos'!$BL$2,IF('Pollas Fase de Grupos'!BM22&gt;'Pollas Fase de Grupos'!BL22,'Pollas Fase de Grupos'!$BM$2,"EMPATE"))</f>
        <v>Belgica</v>
      </c>
      <c r="BK22" s="85">
        <f>PUNTAJE_GANADORES('Pollas Fase de Grupos'!BL22,'Resultados Oficiales Fase de Gr'!$D$43,'Pollas Fase de Grupos'!BM22,'Resultados Oficiales Fase de Gr'!$E$43,BJ22,'Resultados Oficiales Fase de Gr'!$G$43)</f>
        <v>3</v>
      </c>
      <c r="BL22" s="85" t="str">
        <f>IF('Pollas Fase de Grupos'!BN22&gt;'Pollas Fase de Grupos'!BO22,'Pollas Fase de Grupos'!$BN$2,IF('Pollas Fase de Grupos'!BO22&gt;'Pollas Fase de Grupos'!BN22,'Pollas Fase de Grupos'!$BO$2,"EMPATE"))</f>
        <v>Croacia</v>
      </c>
      <c r="BM22" s="85">
        <f>PUNTAJE_GANADORES('Pollas Fase de Grupos'!BN22,'Resultados Oficiales Fase de Gr'!$D$44,'Pollas Fase de Grupos'!BO22,'Resultados Oficiales Fase de Gr'!$E$44,BL22,'Resultados Oficiales Fase de Gr'!$G$44)</f>
        <v>0</v>
      </c>
      <c r="BN22" s="85" t="str">
        <f>IF('Pollas Fase de Grupos'!BP22&gt;'Pollas Fase de Grupos'!BQ22,'Pollas Fase de Grupos'!$BP$2,IF('Pollas Fase de Grupos'!BQ22&gt;'Pollas Fase de Grupos'!BP22,'Pollas Fase de Grupos'!$BQ$2,"EMPATE"))</f>
        <v>Belgica</v>
      </c>
      <c r="BO22" s="85">
        <f>PUNTAJE_GANADORES('Pollas Fase de Grupos'!BP22,'Resultados Oficiales Fase de Gr'!$D$45,'Pollas Fase de Grupos'!BQ22,'Resultados Oficiales Fase de Gr'!$E$45,BN22,'Resultados Oficiales Fase de Gr'!$G$45)</f>
        <v>1</v>
      </c>
      <c r="BP22" s="85" t="str">
        <f>IF('Pollas Fase de Grupos'!BR22&gt;'Pollas Fase de Grupos'!BS22,'Pollas Fase de Grupos'!$BR$2,IF('Pollas Fase de Grupos'!BS22&gt;'Pollas Fase de Grupos'!BR22,'Pollas Fase de Grupos'!$BS$2,"EMPATE"))</f>
        <v>Croacia</v>
      </c>
      <c r="BQ22" s="85">
        <f>PUNTAJE_GANADORES('Pollas Fase de Grupos'!BR22,'Resultados Oficiales Fase de Gr'!$D$46,'Pollas Fase de Grupos'!BS22,'Resultados Oficiales Fase de Gr'!$E$46,BP22,'Resultados Oficiales Fase de Gr'!$G$46)</f>
        <v>3</v>
      </c>
      <c r="BR22" s="85" t="str">
        <f>IF('Pollas Fase de Grupos'!BT22&gt;'Pollas Fase de Grupos'!BU22,'Pollas Fase de Grupos'!$BT$2,IF('Pollas Fase de Grupos'!BU22&gt;'Pollas Fase de Grupos'!BT22,'Pollas Fase de Grupos'!$BU$2,"EMPATE"))</f>
        <v>EMPATE</v>
      </c>
      <c r="BS22" s="85">
        <f>PUNTAJE_GANADORES('Pollas Fase de Grupos'!BT22,'Resultados Oficiales Fase de Gr'!$D$47,'Pollas Fase de Grupos'!BU22,'Resultados Oficiales Fase de Gr'!$E$47,BR22,'Resultados Oficiales Fase de Gr'!$G$47)</f>
        <v>1</v>
      </c>
      <c r="BT22" s="85" t="str">
        <f>IF('Pollas Fase de Grupos'!BV22&gt;'Pollas Fase de Grupos'!BW22,'Pollas Fase de Grupos'!$BV$2,IF('Pollas Fase de Grupos'!BW22&gt;'Pollas Fase de Grupos'!BV22,'Pollas Fase de Grupos'!$BW$2,"EMPATE"))</f>
        <v>Marruecos</v>
      </c>
      <c r="BU22" s="85">
        <f>PUNTAJE_GANADORES('Pollas Fase de Grupos'!BV22,'Resultados Oficiales Fase de Gr'!$D$48,'Pollas Fase de Grupos'!BW22,'Resultados Oficiales Fase de Gr'!$E$48,BT22,'Resultados Oficiales Fase de Gr'!$G$48)</f>
        <v>3</v>
      </c>
      <c r="BV22" s="85" t="str">
        <f>IF('Pollas Fase de Grupos'!BX22&gt;'Pollas Fase de Grupos'!BY22,'Pollas Fase de Grupos'!$BX$2,IF('Pollas Fase de Grupos'!BY22&gt;'Pollas Fase de Grupos'!BX22,'Pollas Fase de Grupos'!$BY$2,"EMPATE"))</f>
        <v>Brasil</v>
      </c>
      <c r="BW22" s="85">
        <f>PUNTAJE_GANADORES('Pollas Fase de Grupos'!BX22,'Resultados Oficiales Fase de Gr'!$D$51,'Pollas Fase de Grupos'!BY22,'Resultados Oficiales Fase de Gr'!$E$51,BV22,'Resultados Oficiales Fase de Gr'!$G$51)</f>
        <v>2</v>
      </c>
      <c r="BX22" s="85" t="str">
        <f>IF('Pollas Fase de Grupos'!BZ22&gt;'Pollas Fase de Grupos'!CA22,'Pollas Fase de Grupos'!$BZ$2,IF('Pollas Fase de Grupos'!CA22&gt;'Pollas Fase de Grupos'!BZ22,'Pollas Fase de Grupos'!$CA$2,"EMPATE"))</f>
        <v>EMPATE</v>
      </c>
      <c r="BY22" s="85">
        <f>PUNTAJE_GANADORES('Pollas Fase de Grupos'!BZ22,'Resultados Oficiales Fase de Gr'!$D$52,'Pollas Fase de Grupos'!CA22,'Resultados Oficiales Fase de Gr'!$E$52,BX22,'Resultados Oficiales Fase de Gr'!$G$52)</f>
        <v>0</v>
      </c>
      <c r="BZ22" s="85" t="str">
        <f>IF('Pollas Fase de Grupos'!CB22&gt;'Pollas Fase de Grupos'!CC22,'Pollas Fase de Grupos'!$CB$2,IF('Pollas Fase de Grupos'!CC22&gt;'Pollas Fase de Grupos'!CB22,'Pollas Fase de Grupos'!$CC$2,"EMPATE"))</f>
        <v>Brasil</v>
      </c>
      <c r="CA22" s="85">
        <f>PUNTAJE_GANADORES('Pollas Fase de Grupos'!CB22,'Resultados Oficiales Fase de Gr'!$D$53,'Pollas Fase de Grupos'!CC22,'Resultados Oficiales Fase de Gr'!$E$53,BZ22,'Resultados Oficiales Fase de Gr'!$G$53)</f>
        <v>3</v>
      </c>
      <c r="CB22" s="85" t="str">
        <f>IF('Pollas Fase de Grupos'!CD22&gt;'Pollas Fase de Grupos'!CE22,'Pollas Fase de Grupos'!$CD$2,IF('Pollas Fase de Grupos'!CE22&gt;'Pollas Fase de Grupos'!CD22,'Pollas Fase de Grupos'!$CE$2,"EMPATE"))</f>
        <v>Serbia</v>
      </c>
      <c r="CC22" s="85">
        <f>PUNTAJE_GANADORES('Pollas Fase de Grupos'!CD22,'Resultados Oficiales Fase de Gr'!$D$54,'Pollas Fase de Grupos'!CE22,'Resultados Oficiales Fase de Gr'!$E$54,CB22,'Resultados Oficiales Fase de Gr'!$G$54)</f>
        <v>1</v>
      </c>
      <c r="CD22" s="85" t="str">
        <f>IF('Pollas Fase de Grupos'!CF22&gt;'Pollas Fase de Grupos'!CG22,'Pollas Fase de Grupos'!$CF$2,IF('Pollas Fase de Grupos'!CG22&gt;'Pollas Fase de Grupos'!CF22,'Pollas Fase de Grupos'!$CG$2,"EMPATE"))</f>
        <v>Brasil</v>
      </c>
      <c r="CE22" s="85">
        <f>PUNTAJE_GANADORES('Pollas Fase de Grupos'!CF22,'Resultados Oficiales Fase de Gr'!$D$55,'Pollas Fase de Grupos'!CG22,'Resultados Oficiales Fase de Gr'!$E$55,CD22,'Resultados Oficiales Fase de Gr'!$G$55)</f>
        <v>0</v>
      </c>
      <c r="CF22" s="85" t="str">
        <f>IF('Pollas Fase de Grupos'!CH22&gt;'Pollas Fase de Grupos'!CI22,'Pollas Fase de Grupos'!$CH$2,IF('Pollas Fase de Grupos'!CI22&gt;'Pollas Fase de Grupos'!CH22,'Pollas Fase de Grupos'!$CI$2,"EMPATE"))</f>
        <v>Serbia</v>
      </c>
      <c r="CG22" s="85">
        <f>PUNTAJE_GANADORES('Pollas Fase de Grupos'!CH22,'Resultados Oficiales Fase de Gr'!$D$56,'Pollas Fase de Grupos'!CI22,'Resultados Oficiales Fase de Gr'!$E$56,CF22,'Resultados Oficiales Fase de Gr'!$G$56)</f>
        <v>0</v>
      </c>
      <c r="CH22" s="85" t="str">
        <f>IF('Pollas Fase de Grupos'!CJ22&gt;'Pollas Fase de Grupos'!CK22,'Pollas Fase de Grupos'!$CJ$2,IF('Pollas Fase de Grupos'!CK22&gt;'Pollas Fase de Grupos'!CJ22,'Pollas Fase de Grupos'!$CK$2,"EMPATE"))</f>
        <v>Portugal</v>
      </c>
      <c r="CI22" s="85">
        <f>PUNTAJE_GANADORES('Pollas Fase de Grupos'!CJ22,'Resultados Oficiales Fase de Gr'!$D$59,'Pollas Fase de Grupos'!CK22,'Resultados Oficiales Fase de Gr'!$E$59,CH22,'Resultados Oficiales Fase de Gr'!$G$59)</f>
        <v>2</v>
      </c>
      <c r="CJ22" s="85" t="str">
        <f>IF('Pollas Fase de Grupos'!CL22&gt;'Pollas Fase de Grupos'!CM22,'Pollas Fase de Grupos'!$CL$2,IF('Pollas Fase de Grupos'!CM22&gt;'Pollas Fase de Grupos'!CL22,'Pollas Fase de Grupos'!$CM$2,"EMPATE"))</f>
        <v>Corea del Sur</v>
      </c>
      <c r="CK22" s="85">
        <f>PUNTAJE_GANADORES('Pollas Fase de Grupos'!CL22,'Resultados Oficiales Fase de Gr'!$D$60,'Pollas Fase de Grupos'!CM22,'Resultados Oficiales Fase de Gr'!$E$60,CJ22,'Resultados Oficiales Fase de Gr'!$G$60)</f>
        <v>0</v>
      </c>
      <c r="CL22" s="85" t="str">
        <f>IF('Pollas Fase de Grupos'!CN22&gt;'Pollas Fase de Grupos'!CO22,'Pollas Fase de Grupos'!$CN$2,IF('Pollas Fase de Grupos'!CO22&gt;'Pollas Fase de Grupos'!CN22,'Pollas Fase de Grupos'!$CO$2,"EMPATE"))</f>
        <v>Uruguay</v>
      </c>
      <c r="CM22" s="85">
        <f>PUNTAJE_GANADORES('Pollas Fase de Grupos'!CN22,'Resultados Oficiales Fase de Gr'!$D$61,'Pollas Fase de Grupos'!CO22,'Resultados Oficiales Fase de Gr'!$E$61,CL22,'Resultados Oficiales Fase de Gr'!$G$61)</f>
        <v>0</v>
      </c>
      <c r="CN22" s="85" t="str">
        <f>IF('Pollas Fase de Grupos'!CP22&gt;'Pollas Fase de Grupos'!CQ22,'Pollas Fase de Grupos'!$CP$2,IF('Pollas Fase de Grupos'!CQ22&gt;'Pollas Fase de Grupos'!CP22,'Pollas Fase de Grupos'!$CQ$2,"EMPATE"))</f>
        <v>EMPATE</v>
      </c>
      <c r="CO22" s="85">
        <f>PUNTAJE_GANADORES('Pollas Fase de Grupos'!CP22,'Resultados Oficiales Fase de Gr'!$D$62,'Pollas Fase de Grupos'!CQ22,'Resultados Oficiales Fase de Gr'!$E$62,CN22,'Resultados Oficiales Fase de Gr'!$G$62)</f>
        <v>1</v>
      </c>
      <c r="CP22" s="85" t="str">
        <f>IF('Pollas Fase de Grupos'!CR22&gt;'Pollas Fase de Grupos'!CS22,'Pollas Fase de Grupos'!$CR$2,IF('Pollas Fase de Grupos'!CS22&gt;'Pollas Fase de Grupos'!CR22,'Pollas Fase de Grupos'!$CS$2,"EMPATE"))</f>
        <v>Portugal</v>
      </c>
      <c r="CQ22" s="85">
        <f>PUNTAJE_GANADORES('Pollas Fase de Grupos'!CR22,'Resultados Oficiales Fase de Gr'!$D$63,'Pollas Fase de Grupos'!CS22,'Resultados Oficiales Fase de Gr'!$E$63,CP22,'Resultados Oficiales Fase de Gr'!$G$63)</f>
        <v>0</v>
      </c>
      <c r="CR22" s="85" t="str">
        <f>IF('Pollas Fase de Grupos'!CT22&gt;'Pollas Fase de Grupos'!CU22,'Pollas Fase de Grupos'!$CT$2,IF('Pollas Fase de Grupos'!CU22&gt;'Pollas Fase de Grupos'!CT22,'Pollas Fase de Grupos'!$CU$2,"EMPATE"))</f>
        <v>Uruguay</v>
      </c>
      <c r="CS22" s="85">
        <f>PUNTAJE_GANADORES('Pollas Fase de Grupos'!CT22,'Resultados Oficiales Fase de Gr'!$D$64,'Pollas Fase de Grupos'!CU22,'Resultados Oficiales Fase de Gr'!$E$64,CR22,'Resultados Oficiales Fase de Gr'!$G$64)</f>
        <v>3</v>
      </c>
      <c r="CT22" s="4">
        <f t="shared" si="1"/>
        <v>59</v>
      </c>
      <c r="CU22" s="17">
        <v>37.0</v>
      </c>
      <c r="CV22" s="3">
        <f t="shared" si="2"/>
        <v>59</v>
      </c>
    </row>
    <row r="23">
      <c r="A23" s="3" t="str">
        <f>'Pollas Fase de Grupos'!CV23</f>
        <v>Qatarsis 2.0</v>
      </c>
      <c r="B23" s="4" t="str">
        <f>IF('Pollas Fase de Grupos'!D23&gt;'Pollas Fase de Grupos'!E23,'Pollas Fase de Grupos'!$D$2,IF('Pollas Fase de Grupos'!E23&gt;'Pollas Fase de Grupos'!D23,'Pollas Fase de Grupos'!$E$2,"EMPATE"))</f>
        <v>Ecuador</v>
      </c>
      <c r="C23" s="4">
        <f>PUNTAJE_GANADORES('Pollas Fase de Grupos'!D23,'Resultados Oficiales Fase de Gr'!$D$3,'Pollas Fase de Grupos'!E23,'Resultados Oficiales Fase de Gr'!$E$3,B23,'Resultados Oficiales Fase de Gr'!$G$3)</f>
        <v>5</v>
      </c>
      <c r="D23" s="85" t="str">
        <f>IF('Pollas Fase de Grupos'!F23&gt;'Pollas Fase de Grupos'!G23,'Pollas Fase de Grupos'!$F$2,IF('Pollas Fase de Grupos'!G23&gt;'Pollas Fase de Grupos'!F23,'Pollas Fase de Grupos'!$G$2,"EMPATE"))</f>
        <v>Paises Bajos</v>
      </c>
      <c r="E23" s="4">
        <f>PUNTAJE_GANADORES('Pollas Fase de Grupos'!F23,'Resultados Oficiales Fase de Gr'!$D$4,'Pollas Fase de Grupos'!G23,'Resultados Oficiales Fase de Gr'!$E$4,D23,'Resultados Oficiales Fase de Gr'!$G$4)</f>
        <v>5</v>
      </c>
      <c r="F23" s="85" t="str">
        <f>IF('Pollas Fase de Grupos'!H23&gt;'Pollas Fase de Grupos'!I23,'Pollas Fase de Grupos'!$H$2,IF('Pollas Fase de Grupos'!I23&gt;'Pollas Fase de Grupos'!H23,'Pollas Fase de Grupos'!$I$2,"EMPATE"))</f>
        <v>EMPATE</v>
      </c>
      <c r="G23" s="4">
        <f>PUNTAJE_GANADORES('Pollas Fase de Grupos'!H23,'Resultados Oficiales Fase de Gr'!$D$5,'Pollas Fase de Grupos'!I23,'Resultados Oficiales Fase de Gr'!$E$5,F23,'Resultados Oficiales Fase de Gr'!$G$5)</f>
        <v>1</v>
      </c>
      <c r="H23" s="85" t="str">
        <f>IF('Pollas Fase de Grupos'!J23&gt;'Pollas Fase de Grupos'!K23,'Pollas Fase de Grupos'!$J$2,IF('Pollas Fase de Grupos'!K23&gt;'Pollas Fase de Grupos'!J23,'Pollas Fase de Grupos'!$K$2,"EMPATE"))</f>
        <v>Paises Bajos</v>
      </c>
      <c r="I23" s="4">
        <f>PUNTAJE_GANADORES('Pollas Fase de Grupos'!J23,'Resultados Oficiales Fase de Gr'!$D$6,'Pollas Fase de Grupos'!K23,'Resultados Oficiales Fase de Gr'!$E$6,H23,'Resultados Oficiales Fase de Gr'!$G$6)</f>
        <v>0</v>
      </c>
      <c r="J23" s="85" t="str">
        <f>IF('Pollas Fase de Grupos'!L23&gt;'Pollas Fase de Grupos'!M23,'Pollas Fase de Grupos'!$L$2,IF('Pollas Fase de Grupos'!M23&gt;'Pollas Fase de Grupos'!L23,'Pollas Fase de Grupos'!$M$2,"EMPATE"))</f>
        <v>Paises Bajos</v>
      </c>
      <c r="K23" s="4">
        <f>PUNTAJE_GANADORES('Pollas Fase de Grupos'!L23,'Resultados Oficiales Fase de Gr'!$D$7,'Pollas Fase de Grupos'!M23,'Resultados Oficiales Fase de Gr'!$E$7,J23,'Resultados Oficiales Fase de Gr'!$G$7)</f>
        <v>5</v>
      </c>
      <c r="L23" s="85" t="str">
        <f>IF('Pollas Fase de Grupos'!N23&gt;'Pollas Fase de Grupos'!O23,'Pollas Fase de Grupos'!$N$2,IF('Pollas Fase de Grupos'!O23&gt;'Pollas Fase de Grupos'!N23,'Pollas Fase de Grupos'!$O$2,"EMPATE"))</f>
        <v>Ecuador</v>
      </c>
      <c r="M23" s="85">
        <f>PUNTAJE_GANADORES('Pollas Fase de Grupos'!N23,'Resultados Oficiales Fase de Gr'!$D$8,'Pollas Fase de Grupos'!O23,'Resultados Oficiales Fase de Gr'!$E$8,L23,'Resultados Oficiales Fase de Gr'!$G$8)</f>
        <v>1</v>
      </c>
      <c r="N23" s="85" t="str">
        <f>IF('Pollas Fase de Grupos'!P23&gt;'Pollas Fase de Grupos'!Q23,'Pollas Fase de Grupos'!$P$2,IF('Pollas Fase de Grupos'!Q23&gt;'Pollas Fase de Grupos'!P23,'Pollas Fase de Grupos'!$Q$2,"EMPATE"))</f>
        <v>Inglaterra</v>
      </c>
      <c r="O23" s="85">
        <f>PUNTAJE_GANADORES('Pollas Fase de Grupos'!P23,'Resultados Oficiales Fase de Gr'!$D$11,'Pollas Fase de Grupos'!Q23,'Resultados Oficiales Fase de Gr'!$E$11,N23,'Resultados Oficiales Fase de Gr'!$G$11)</f>
        <v>2</v>
      </c>
      <c r="P23" s="4" t="str">
        <f>IF('Pollas Fase de Grupos'!R23&gt;'Pollas Fase de Grupos'!S23,'Pollas Fase de Grupos'!$R$2,IF('Pollas Fase de Grupos'!S23&gt;'Pollas Fase de Grupos'!R23,'Pollas Fase de Grupos'!$S$2,"EMPATE"))</f>
        <v>Gales</v>
      </c>
      <c r="Q23" s="85">
        <f>PUNTAJE_GANADORES('Pollas Fase de Grupos'!R23,'Resultados Oficiales Fase de Gr'!$D$12,'Pollas Fase de Grupos'!S23,'Resultados Oficiales Fase de Gr'!$E$12,P23,'Resultados Oficiales Fase de Gr'!$G$12)</f>
        <v>0</v>
      </c>
      <c r="R23" s="85" t="str">
        <f>IF('Pollas Fase de Grupos'!T23&gt;'Pollas Fase de Grupos'!U23,'Pollas Fase de Grupos'!$T$2,IF('Pollas Fase de Grupos'!U23&gt;'Pollas Fase de Grupos'!T23,'Pollas Fase de Grupos'!$U$2,"EMPATE"))</f>
        <v>Inglaterra</v>
      </c>
      <c r="S23" s="4">
        <f>PUNTAJE_GANADORES('Pollas Fase de Grupos'!T23,'Resultados Oficiales Fase de Gr'!$D$13,'Pollas Fase de Grupos'!U23,'Resultados Oficiales Fase de Gr'!$E$13,R23,'Resultados Oficiales Fase de Gr'!$G$13)</f>
        <v>1</v>
      </c>
      <c r="T23" s="85" t="str">
        <f>IF('Pollas Fase de Grupos'!V23&gt;'Pollas Fase de Grupos'!W23,'Pollas Fase de Grupos'!$V$2,IF('Pollas Fase de Grupos'!W23&gt;'Pollas Fase de Grupos'!V23,'Pollas Fase de Grupos'!$W$2,"EMPATE"))</f>
        <v>Gales</v>
      </c>
      <c r="U23" s="86">
        <f>PUNTAJE_GANADORES('Pollas Fase de Grupos'!V23,'Resultados Oficiales Fase de Gr'!$D$14,'Pollas Fase de Grupos'!W23,'Resultados Oficiales Fase de Gr'!$E$14,T23,'Resultados Oficiales Fase de Gr'!$G$14)</f>
        <v>0</v>
      </c>
      <c r="V23" s="85" t="str">
        <f>IF('Pollas Fase de Grupos'!X23&gt;'Pollas Fase de Grupos'!Y23,'Pollas Fase de Grupos'!$X$2,IF('Pollas Fase de Grupos'!Y23&gt;'Pollas Fase de Grupos'!X23,'Pollas Fase de Grupos'!$Y$2,"EMPATE"))</f>
        <v>Inglaterra</v>
      </c>
      <c r="W23" s="85">
        <f>PUNTAJE_GANADORES('Pollas Fase de Grupos'!X23,'Resultados Oficiales Fase de Gr'!$D$15,'Pollas Fase de Grupos'!Y23,'Resultados Oficiales Fase de Gr'!$E$15,V23,'Resultados Oficiales Fase de Gr'!$G$15)</f>
        <v>3</v>
      </c>
      <c r="X23" s="85" t="str">
        <f>IF('Pollas Fase de Grupos'!Z23&gt;'Pollas Fase de Grupos'!AA23,'Pollas Fase de Grupos'!$Z$2,IF('Pollas Fase de Grupos'!AA23&gt;'Pollas Fase de Grupos'!Z23,'Pollas Fase de Grupos'!$AA$2,"EMPATE"))</f>
        <v>Estados Unidos</v>
      </c>
      <c r="Y23" s="87">
        <f>PUNTAJE_GANADORES('Pollas Fase de Grupos'!Z23,'Resultados Oficiales Fase de Gr'!$D$16,'Pollas Fase de Grupos'!AA23,'Resultados Oficiales Fase de Gr'!$E$16,X23,'Resultados Oficiales Fase de Gr'!$G$16)</f>
        <v>3</v>
      </c>
      <c r="Z23" s="85" t="str">
        <f>IF('Pollas Fase de Grupos'!AB23&gt;'Pollas Fase de Grupos'!AC23,'Pollas Fase de Grupos'!$AB$2,IF('Pollas Fase de Grupos'!AC23&gt;'Pollas Fase de Grupos'!AB23,'Pollas Fase de Grupos'!$AC$2,"EMPATE"))</f>
        <v>Argentina</v>
      </c>
      <c r="AA23" s="85">
        <f>PUNTAJE_GANADORES('Pollas Fase de Grupos'!AB23,'Resultados Oficiales Fase de Gr'!$D$19,'Pollas Fase de Grupos'!AC23,'Resultados Oficiales Fase de Gr'!$E$19,Z23,'Resultados Oficiales Fase de Gr'!$G$19)</f>
        <v>0</v>
      </c>
      <c r="AB23" s="85" t="str">
        <f>IF('Pollas Fase de Grupos'!AD23&gt;'Pollas Fase de Grupos'!AE23,'Pollas Fase de Grupos'!$AD$2,IF('Pollas Fase de Grupos'!AE23&gt;'Pollas Fase de Grupos'!AD23,'Pollas Fase de Grupos'!$AE$2,"EMPATE"))</f>
        <v>Mexico</v>
      </c>
      <c r="AC23" s="85">
        <f>PUNTAJE_GANADORES('Pollas Fase de Grupos'!AD23,'Resultados Oficiales Fase de Gr'!$D$20,'Pollas Fase de Grupos'!AE23,'Resultados Oficiales Fase de Gr'!$E$20,AB23,'Resultados Oficiales Fase de Gr'!$G$20)</f>
        <v>1</v>
      </c>
      <c r="AD23" s="85" t="str">
        <f>IF('Pollas Fase de Grupos'!AF23&gt;'Pollas Fase de Grupos'!AG23,'Pollas Fase de Grupos'!$AF$2,IF('Pollas Fase de Grupos'!AG23&gt;'Pollas Fase de Grupos'!AF23,'Pollas Fase de Grupos'!$AG$2,"EMPATE"))</f>
        <v>Argentina</v>
      </c>
      <c r="AE23" s="85">
        <f>PUNTAJE_GANADORES('Pollas Fase de Grupos'!AF23,'Resultados Oficiales Fase de Gr'!$D$21,'Pollas Fase de Grupos'!AG23,'Resultados Oficiales Fase de Gr'!$E$21,AD23,'Resultados Oficiales Fase de Gr'!$G$21)</f>
        <v>2</v>
      </c>
      <c r="AF23" s="85" t="str">
        <f>IF('Pollas Fase de Grupos'!AH23&gt;'Pollas Fase de Grupos'!AI23,'Pollas Fase de Grupos'!$AH$2,IF('Pollas Fase de Grupos'!AI23&gt;'Pollas Fase de Grupos'!AH23,'Pollas Fase de Grupos'!$AI$2,"EMPATE"))</f>
        <v>Polonia</v>
      </c>
      <c r="AG23" s="85">
        <f>PUNTAJE_GANADORES('Pollas Fase de Grupos'!AH23,'Resultados Oficiales Fase de Gr'!$D$22,'Pollas Fase de Grupos'!AI23,'Resultados Oficiales Fase de Gr'!$E$22,AF23,'Resultados Oficiales Fase de Gr'!$G$22)</f>
        <v>5</v>
      </c>
      <c r="AH23" s="85" t="str">
        <f>IF('Pollas Fase de Grupos'!AJ23&gt;'Pollas Fase de Grupos'!AK23,'Pollas Fase de Grupos'!$AJ$2,IF('Pollas Fase de Grupos'!AK23&gt;'Pollas Fase de Grupos'!AJ23,'Pollas Fase de Grupos'!$AK$2,"EMPATE"))</f>
        <v>Argentina</v>
      </c>
      <c r="AI23" s="85">
        <f>PUNTAJE_GANADORES('Pollas Fase de Grupos'!AJ23,'Resultados Oficiales Fase de Gr'!$D$23,'Pollas Fase de Grupos'!AK23,'Resultados Oficiales Fase de Gr'!$E$23,AH23,'Resultados Oficiales Fase de Gr'!$G$23)</f>
        <v>3</v>
      </c>
      <c r="AJ23" s="85" t="str">
        <f>IF('Pollas Fase de Grupos'!AL23&gt;'Pollas Fase de Grupos'!AM23,'Pollas Fase de Grupos'!$AL$2,IF('Pollas Fase de Grupos'!AM23&gt;'Pollas Fase de Grupos'!AL23,'Pollas Fase de Grupos'!$AM$2,"EMPATE"))</f>
        <v>Mexico</v>
      </c>
      <c r="AK23" s="85">
        <f>PUNTAJE_GANADORES('Pollas Fase de Grupos'!AL23,'Resultados Oficiales Fase de Gr'!$D$24,'Pollas Fase de Grupos'!AM23,'Resultados Oficiales Fase de Gr'!$E$24,AJ23,'Resultados Oficiales Fase de Gr'!$G$24)</f>
        <v>3</v>
      </c>
      <c r="AL23" s="85" t="str">
        <f>IF('Pollas Fase de Grupos'!AN23&gt;'Pollas Fase de Grupos'!AO23,'Pollas Fase de Grupos'!$AN$2,IF('Pollas Fase de Grupos'!AO23&gt;'Pollas Fase de Grupos'!AN23,'Pollas Fase de Grupos'!$AO$2,"EMPATE"))</f>
        <v>Francia</v>
      </c>
      <c r="AM23" s="85">
        <f>PUNTAJE_GANADORES('Pollas Fase de Grupos'!AN23,'Resultados Oficiales Fase de Gr'!$D$27,'Pollas Fase de Grupos'!AO23,'Resultados Oficiales Fase de Gr'!$E$27,AL23,'Resultados Oficiales Fase de Gr'!$G$27)</f>
        <v>3</v>
      </c>
      <c r="AN23" s="85" t="str">
        <f>IF('Pollas Fase de Grupos'!AP23&gt;'Pollas Fase de Grupos'!AQ23,'Pollas Fase de Grupos'!$AP$2,IF('Pollas Fase de Grupos'!AQ23&gt;'Pollas Fase de Grupos'!AP23,'Pollas Fase de Grupos'!$AQ$2,"EMPATE"))</f>
        <v>Tunez</v>
      </c>
      <c r="AO23" s="85">
        <f>PUNTAJE_GANADORES('Pollas Fase de Grupos'!AP23,'Resultados Oficiales Fase de Gr'!$D$28,'Pollas Fase de Grupos'!AQ23,'Resultados Oficiales Fase de Gr'!$E$28,AN23,'Resultados Oficiales Fase de Gr'!$G$28)</f>
        <v>0</v>
      </c>
      <c r="AP23" s="85" t="str">
        <f>IF('Pollas Fase de Grupos'!AR23&gt;'Pollas Fase de Grupos'!AS23,'Pollas Fase de Grupos'!$AR$2,IF('Pollas Fase de Grupos'!AS23&gt;'Pollas Fase de Grupos'!AR23,'Pollas Fase de Grupos'!$AS$2,"EMPATE"))</f>
        <v>Francia</v>
      </c>
      <c r="AQ23" s="85">
        <f>PUNTAJE_GANADORES('Pollas Fase de Grupos'!AR23,'Resultados Oficiales Fase de Gr'!$D$29,'Pollas Fase de Grupos'!AS23,'Resultados Oficiales Fase de Gr'!$E$29,AP23,'Resultados Oficiales Fase de Gr'!$G$29)</f>
        <v>3</v>
      </c>
      <c r="AR23" s="85" t="str">
        <f>IF('Pollas Fase de Grupos'!AT23&gt;'Pollas Fase de Grupos'!AU23,'Pollas Fase de Grupos'!$AT$2,IF('Pollas Fase de Grupos'!AU23&gt;'Pollas Fase de Grupos'!AT23,'Pollas Fase de Grupos'!$AU$2,"EMPATE"))</f>
        <v>EMPATE</v>
      </c>
      <c r="AS23" s="85">
        <f>PUNTAJE_GANADORES('Pollas Fase de Grupos'!AT23,'Resultados Oficiales Fase de Gr'!$D$30,'Pollas Fase de Grupos'!AU23,'Resultados Oficiales Fase de Gr'!$E$30,AR23,'Resultados Oficiales Fase de Gr'!$G$30)</f>
        <v>1</v>
      </c>
      <c r="AT23" s="85" t="str">
        <f>IF('Pollas Fase de Grupos'!AV23&gt;'Pollas Fase de Grupos'!AW23,'Pollas Fase de Grupos'!$AV$2,IF('Pollas Fase de Grupos'!AW23&gt;'Pollas Fase de Grupos'!AV23,'Pollas Fase de Grupos'!$AW$2,"EMPATE"))</f>
        <v>Francia</v>
      </c>
      <c r="AU23" s="85">
        <f>PUNTAJE_GANADORES('Pollas Fase de Grupos'!AV23,'Resultados Oficiales Fase de Gr'!$D$31,'Pollas Fase de Grupos'!AW23,'Resultados Oficiales Fase de Gr'!$E$31,AT23,'Resultados Oficiales Fase de Gr'!$G$31)</f>
        <v>0</v>
      </c>
      <c r="AV23" s="85" t="str">
        <f>IF('Pollas Fase de Grupos'!AX23&gt;'Pollas Fase de Grupos'!AY23,'Pollas Fase de Grupos'!$AX$2,IF('Pollas Fase de Grupos'!AY23&gt;'Pollas Fase de Grupos'!AX23,'Pollas Fase de Grupos'!$AY$2,"EMPATE"))</f>
        <v>Dinamarca</v>
      </c>
      <c r="AW23" s="85">
        <f>PUNTAJE_GANADORES('Pollas Fase de Grupos'!AX23,'Resultados Oficiales Fase de Gr'!$D$32,'Pollas Fase de Grupos'!AY23,'Resultados Oficiales Fase de Gr'!$E$32,AV23,'Resultados Oficiales Fase de Gr'!$G$32)</f>
        <v>0</v>
      </c>
      <c r="AX23" s="85" t="str">
        <f>IF('Pollas Fase de Grupos'!AZ23&gt;'Pollas Fase de Grupos'!BA23,'Pollas Fase de Grupos'!$AZ$2,IF('Pollas Fase de Grupos'!BA23&gt;'Pollas Fase de Grupos'!AZ23,'Pollas Fase de Grupos'!$BA$2,"EMPATE"))</f>
        <v>España</v>
      </c>
      <c r="AY23" s="85">
        <f>PUNTAJE_GANADORES('Pollas Fase de Grupos'!AZ23,'Resultados Oficiales Fase de Gr'!$D$35,'Pollas Fase de Grupos'!BA23,'Resultados Oficiales Fase de Gr'!$E$35,AX23,'Resultados Oficiales Fase de Gr'!$G$35)</f>
        <v>0</v>
      </c>
      <c r="AZ23" s="85" t="str">
        <f>IF('Pollas Fase de Grupos'!BB23&gt;'Pollas Fase de Grupos'!BC23,'Pollas Fase de Grupos'!$BB$2,IF('Pollas Fase de Grupos'!BC23&gt;'Pollas Fase de Grupos'!BB23,'Pollas Fase de Grupos'!$BC$2,"EMPATE"))</f>
        <v>Alemania</v>
      </c>
      <c r="BA23" s="85">
        <f>PUNTAJE_GANADORES('Pollas Fase de Grupos'!BB23,'Resultados Oficiales Fase de Gr'!$D$36,'Pollas Fase de Grupos'!BC23,'Resultados Oficiales Fase de Gr'!$E$36,AZ23,'Resultados Oficiales Fase de Gr'!$G$36)</f>
        <v>0</v>
      </c>
      <c r="BB23" s="85" t="str">
        <f>IF('Pollas Fase de Grupos'!BD23&gt;'Pollas Fase de Grupos'!BE23,'Pollas Fase de Grupos'!$BD$2,IF('Pollas Fase de Grupos'!BE23&gt;'Pollas Fase de Grupos'!BD23,'Pollas Fase de Grupos'!$BE$2,"EMPATE"))</f>
        <v>EMPATE</v>
      </c>
      <c r="BC23" s="85">
        <f>PUNTAJE_GANADORES('Pollas Fase de Grupos'!BD23,'Resultados Oficiales Fase de Gr'!$D$37,'Pollas Fase de Grupos'!BE23,'Resultados Oficiales Fase de Gr'!$E$37,BB23,'Resultados Oficiales Fase de Gr'!$G$37)</f>
        <v>5</v>
      </c>
      <c r="BD23" s="85" t="str">
        <f>IF('Pollas Fase de Grupos'!BF23&gt;'Pollas Fase de Grupos'!BG23,'Pollas Fase de Grupos'!$BF$2,IF('Pollas Fase de Grupos'!BG23&gt;'Pollas Fase de Grupos'!BF23,'Pollas Fase de Grupos'!$BG$2,"EMPATE"))</f>
        <v>Costa Rica</v>
      </c>
      <c r="BE23" s="85">
        <f>PUNTAJE_GANADORES('Pollas Fase de Grupos'!BF23,'Resultados Oficiales Fase de Gr'!$D$38,'Pollas Fase de Grupos'!BG23,'Resultados Oficiales Fase de Gr'!$E$38,BD23,'Resultados Oficiales Fase de Gr'!$G$38)</f>
        <v>3</v>
      </c>
      <c r="BF23" s="85" t="str">
        <f>IF('Pollas Fase de Grupos'!BH23&gt;'Pollas Fase de Grupos'!BI23,'Pollas Fase de Grupos'!$BH$2,IF('Pollas Fase de Grupos'!BI23&gt;'Pollas Fase de Grupos'!BH23,'Pollas Fase de Grupos'!$BI$2,"EMPATE"))</f>
        <v>España</v>
      </c>
      <c r="BG23" s="85">
        <f>PUNTAJE_GANADORES('Pollas Fase de Grupos'!BH23,'Resultados Oficiales Fase de Gr'!$D$39,'Pollas Fase de Grupos'!BI23,'Resultados Oficiales Fase de Gr'!$E$39,BF23,'Resultados Oficiales Fase de Gr'!$G$39)</f>
        <v>0</v>
      </c>
      <c r="BH23" s="85" t="str">
        <f>IF('Pollas Fase de Grupos'!BJ23&gt;'Pollas Fase de Grupos'!BK23,'Pollas Fase de Grupos'!$BJ$2,IF('Pollas Fase de Grupos'!BK23&gt;'Pollas Fase de Grupos'!BJ23,'Pollas Fase de Grupos'!$BK$2,"EMPATE"))</f>
        <v>Alemania</v>
      </c>
      <c r="BI23" s="85">
        <f>PUNTAJE_GANADORES('Pollas Fase de Grupos'!BJ23,'Resultados Oficiales Fase de Gr'!$D$40,'Pollas Fase de Grupos'!BK23,'Resultados Oficiales Fase de Gr'!$E$40,BH23,'Resultados Oficiales Fase de Gr'!$G$40)</f>
        <v>2</v>
      </c>
      <c r="BJ23" s="85" t="str">
        <f>IF('Pollas Fase de Grupos'!BL23&gt;'Pollas Fase de Grupos'!BM23,'Pollas Fase de Grupos'!$BL$2,IF('Pollas Fase de Grupos'!BM23&gt;'Pollas Fase de Grupos'!BL23,'Pollas Fase de Grupos'!$BM$2,"EMPATE"))</f>
        <v>Belgica</v>
      </c>
      <c r="BK23" s="85">
        <f>PUNTAJE_GANADORES('Pollas Fase de Grupos'!BL23,'Resultados Oficiales Fase de Gr'!$D$43,'Pollas Fase de Grupos'!BM23,'Resultados Oficiales Fase de Gr'!$E$43,BJ23,'Resultados Oficiales Fase de Gr'!$G$43)</f>
        <v>3</v>
      </c>
      <c r="BL23" s="85" t="str">
        <f>IF('Pollas Fase de Grupos'!BN23&gt;'Pollas Fase de Grupos'!BO23,'Pollas Fase de Grupos'!$BN$2,IF('Pollas Fase de Grupos'!BO23&gt;'Pollas Fase de Grupos'!BN23,'Pollas Fase de Grupos'!$BO$2,"EMPATE"))</f>
        <v>Croacia</v>
      </c>
      <c r="BM23" s="85">
        <f>PUNTAJE_GANADORES('Pollas Fase de Grupos'!BN23,'Resultados Oficiales Fase de Gr'!$D$44,'Pollas Fase de Grupos'!BO23,'Resultados Oficiales Fase de Gr'!$E$44,BL23,'Resultados Oficiales Fase de Gr'!$G$44)</f>
        <v>0</v>
      </c>
      <c r="BN23" s="85" t="str">
        <f>IF('Pollas Fase de Grupos'!BP23&gt;'Pollas Fase de Grupos'!BQ23,'Pollas Fase de Grupos'!$BP$2,IF('Pollas Fase de Grupos'!BQ23&gt;'Pollas Fase de Grupos'!BP23,'Pollas Fase de Grupos'!$BQ$2,"EMPATE"))</f>
        <v>Belgica</v>
      </c>
      <c r="BO23" s="85">
        <f>PUNTAJE_GANADORES('Pollas Fase de Grupos'!BP23,'Resultados Oficiales Fase de Gr'!$D$45,'Pollas Fase de Grupos'!BQ23,'Resultados Oficiales Fase de Gr'!$E$45,BN23,'Resultados Oficiales Fase de Gr'!$G$45)</f>
        <v>0</v>
      </c>
      <c r="BP23" s="85" t="str">
        <f>IF('Pollas Fase de Grupos'!BR23&gt;'Pollas Fase de Grupos'!BS23,'Pollas Fase de Grupos'!$BR$2,IF('Pollas Fase de Grupos'!BS23&gt;'Pollas Fase de Grupos'!BR23,'Pollas Fase de Grupos'!$BS$2,"EMPATE"))</f>
        <v>Croacia</v>
      </c>
      <c r="BQ23" s="85">
        <f>PUNTAJE_GANADORES('Pollas Fase de Grupos'!BR23,'Resultados Oficiales Fase de Gr'!$D$46,'Pollas Fase de Grupos'!BS23,'Resultados Oficiales Fase de Gr'!$E$46,BP23,'Resultados Oficiales Fase de Gr'!$G$46)</f>
        <v>2</v>
      </c>
      <c r="BR23" s="85" t="str">
        <f>IF('Pollas Fase de Grupos'!BT23&gt;'Pollas Fase de Grupos'!BU23,'Pollas Fase de Grupos'!$BT$2,IF('Pollas Fase de Grupos'!BU23&gt;'Pollas Fase de Grupos'!BT23,'Pollas Fase de Grupos'!$BU$2,"EMPATE"))</f>
        <v>EMPATE</v>
      </c>
      <c r="BS23" s="85">
        <f>PUNTAJE_GANADORES('Pollas Fase de Grupos'!BT23,'Resultados Oficiales Fase de Gr'!$D$47,'Pollas Fase de Grupos'!BU23,'Resultados Oficiales Fase de Gr'!$E$47,BR23,'Resultados Oficiales Fase de Gr'!$G$47)</f>
        <v>1</v>
      </c>
      <c r="BT23" s="85" t="str">
        <f>IF('Pollas Fase de Grupos'!BV23&gt;'Pollas Fase de Grupos'!BW23,'Pollas Fase de Grupos'!$BV$2,IF('Pollas Fase de Grupos'!BW23&gt;'Pollas Fase de Grupos'!BV23,'Pollas Fase de Grupos'!$BW$2,"EMPATE"))</f>
        <v>Marruecos</v>
      </c>
      <c r="BU23" s="85">
        <f>PUNTAJE_GANADORES('Pollas Fase de Grupos'!BV23,'Resultados Oficiales Fase de Gr'!$D$48,'Pollas Fase de Grupos'!BW23,'Resultados Oficiales Fase de Gr'!$E$48,BT23,'Resultados Oficiales Fase de Gr'!$G$48)</f>
        <v>2</v>
      </c>
      <c r="BV23" s="85" t="str">
        <f>IF('Pollas Fase de Grupos'!BX23&gt;'Pollas Fase de Grupos'!BY23,'Pollas Fase de Grupos'!$BX$2,IF('Pollas Fase de Grupos'!BY23&gt;'Pollas Fase de Grupos'!BX23,'Pollas Fase de Grupos'!$BY$2,"EMPATE"))</f>
        <v>Brasil</v>
      </c>
      <c r="BW23" s="85">
        <f>PUNTAJE_GANADORES('Pollas Fase de Grupos'!BX23,'Resultados Oficiales Fase de Gr'!$D$51,'Pollas Fase de Grupos'!BY23,'Resultados Oficiales Fase de Gr'!$E$51,BV23,'Resultados Oficiales Fase de Gr'!$G$51)</f>
        <v>3</v>
      </c>
      <c r="BX23" s="85" t="str">
        <f>IF('Pollas Fase de Grupos'!BZ23&gt;'Pollas Fase de Grupos'!CA23,'Pollas Fase de Grupos'!$BZ$2,IF('Pollas Fase de Grupos'!CA23&gt;'Pollas Fase de Grupos'!BZ23,'Pollas Fase de Grupos'!$CA$2,"EMPATE"))</f>
        <v>Suiza</v>
      </c>
      <c r="BY23" s="85">
        <f>PUNTAJE_GANADORES('Pollas Fase de Grupos'!BZ23,'Resultados Oficiales Fase de Gr'!$D$52,'Pollas Fase de Grupos'!CA23,'Resultados Oficiales Fase de Gr'!$E$52,BX23,'Resultados Oficiales Fase de Gr'!$G$52)</f>
        <v>2</v>
      </c>
      <c r="BZ23" s="85" t="str">
        <f>IF('Pollas Fase de Grupos'!CB23&gt;'Pollas Fase de Grupos'!CC23,'Pollas Fase de Grupos'!$CB$2,IF('Pollas Fase de Grupos'!CC23&gt;'Pollas Fase de Grupos'!CB23,'Pollas Fase de Grupos'!$CC$2,"EMPATE"))</f>
        <v>Brasil</v>
      </c>
      <c r="CA23" s="85">
        <f>PUNTAJE_GANADORES('Pollas Fase de Grupos'!CB23,'Resultados Oficiales Fase de Gr'!$D$53,'Pollas Fase de Grupos'!CC23,'Resultados Oficiales Fase de Gr'!$E$53,BZ23,'Resultados Oficiales Fase de Gr'!$G$53)</f>
        <v>3</v>
      </c>
      <c r="CB23" s="85" t="str">
        <f>IF('Pollas Fase de Grupos'!CD23&gt;'Pollas Fase de Grupos'!CE23,'Pollas Fase de Grupos'!$CD$2,IF('Pollas Fase de Grupos'!CE23&gt;'Pollas Fase de Grupos'!CD23,'Pollas Fase de Grupos'!$CE$2,"EMPATE"))</f>
        <v>EMPATE</v>
      </c>
      <c r="CC23" s="85">
        <f>PUNTAJE_GANADORES('Pollas Fase de Grupos'!CD23,'Resultados Oficiales Fase de Gr'!$D$54,'Pollas Fase de Grupos'!CE23,'Resultados Oficiales Fase de Gr'!$E$54,CB23,'Resultados Oficiales Fase de Gr'!$G$54)</f>
        <v>1</v>
      </c>
      <c r="CD23" s="85" t="str">
        <f>IF('Pollas Fase de Grupos'!CF23&gt;'Pollas Fase de Grupos'!CG23,'Pollas Fase de Grupos'!$CF$2,IF('Pollas Fase de Grupos'!CG23&gt;'Pollas Fase de Grupos'!CF23,'Pollas Fase de Grupos'!$CG$2,"EMPATE"))</f>
        <v>Brasil</v>
      </c>
      <c r="CE23" s="85">
        <f>PUNTAJE_GANADORES('Pollas Fase de Grupos'!CF23,'Resultados Oficiales Fase de Gr'!$D$55,'Pollas Fase de Grupos'!CG23,'Resultados Oficiales Fase de Gr'!$E$55,CD23,'Resultados Oficiales Fase de Gr'!$G$55)</f>
        <v>0</v>
      </c>
      <c r="CF23" s="85" t="str">
        <f>IF('Pollas Fase de Grupos'!CH23&gt;'Pollas Fase de Grupos'!CI23,'Pollas Fase de Grupos'!$CH$2,IF('Pollas Fase de Grupos'!CI23&gt;'Pollas Fase de Grupos'!CH23,'Pollas Fase de Grupos'!$CI$2,"EMPATE"))</f>
        <v>Serbia</v>
      </c>
      <c r="CG23" s="85">
        <f>PUNTAJE_GANADORES('Pollas Fase de Grupos'!CH23,'Resultados Oficiales Fase de Gr'!$D$56,'Pollas Fase de Grupos'!CI23,'Resultados Oficiales Fase de Gr'!$E$56,CF23,'Resultados Oficiales Fase de Gr'!$G$56)</f>
        <v>1</v>
      </c>
      <c r="CH23" s="85" t="str">
        <f>IF('Pollas Fase de Grupos'!CJ23&gt;'Pollas Fase de Grupos'!CK23,'Pollas Fase de Grupos'!$CJ$2,IF('Pollas Fase de Grupos'!CK23&gt;'Pollas Fase de Grupos'!CJ23,'Pollas Fase de Grupos'!$CK$2,"EMPATE"))</f>
        <v>Portugal</v>
      </c>
      <c r="CI23" s="85">
        <f>PUNTAJE_GANADORES('Pollas Fase de Grupos'!CJ23,'Resultados Oficiales Fase de Gr'!$D$59,'Pollas Fase de Grupos'!CK23,'Resultados Oficiales Fase de Gr'!$E$59,CH23,'Resultados Oficiales Fase de Gr'!$G$59)</f>
        <v>3</v>
      </c>
      <c r="CJ23" s="85" t="str">
        <f>IF('Pollas Fase de Grupos'!CL23&gt;'Pollas Fase de Grupos'!CM23,'Pollas Fase de Grupos'!$CL$2,IF('Pollas Fase de Grupos'!CM23&gt;'Pollas Fase de Grupos'!CL23,'Pollas Fase de Grupos'!$CM$2,"EMPATE"))</f>
        <v>Uruguay</v>
      </c>
      <c r="CK23" s="85">
        <f>PUNTAJE_GANADORES('Pollas Fase de Grupos'!CL23,'Resultados Oficiales Fase de Gr'!$D$60,'Pollas Fase de Grupos'!CM23,'Resultados Oficiales Fase de Gr'!$E$60,CJ23,'Resultados Oficiales Fase de Gr'!$G$60)</f>
        <v>0</v>
      </c>
      <c r="CL23" s="85" t="str">
        <f>IF('Pollas Fase de Grupos'!CN23&gt;'Pollas Fase de Grupos'!CO23,'Pollas Fase de Grupos'!$CN$2,IF('Pollas Fase de Grupos'!CO23&gt;'Pollas Fase de Grupos'!CN23,'Pollas Fase de Grupos'!$CO$2,"EMPATE"))</f>
        <v>EMPATE</v>
      </c>
      <c r="CM23" s="85">
        <f>PUNTAJE_GANADORES('Pollas Fase de Grupos'!CN23,'Resultados Oficiales Fase de Gr'!$D$61,'Pollas Fase de Grupos'!CO23,'Resultados Oficiales Fase de Gr'!$E$61,CL23,'Resultados Oficiales Fase de Gr'!$G$61)</f>
        <v>1</v>
      </c>
      <c r="CN23" s="85" t="str">
        <f>IF('Pollas Fase de Grupos'!CP23&gt;'Pollas Fase de Grupos'!CQ23,'Pollas Fase de Grupos'!$CP$2,IF('Pollas Fase de Grupos'!CQ23&gt;'Pollas Fase de Grupos'!CP23,'Pollas Fase de Grupos'!$CQ$2,"EMPATE"))</f>
        <v>EMPATE</v>
      </c>
      <c r="CO23" s="85">
        <f>PUNTAJE_GANADORES('Pollas Fase de Grupos'!CP23,'Resultados Oficiales Fase de Gr'!$D$62,'Pollas Fase de Grupos'!CQ23,'Resultados Oficiales Fase de Gr'!$E$62,CN23,'Resultados Oficiales Fase de Gr'!$G$62)</f>
        <v>0</v>
      </c>
      <c r="CP23" s="85" t="str">
        <f>IF('Pollas Fase de Grupos'!CR23&gt;'Pollas Fase de Grupos'!CS23,'Pollas Fase de Grupos'!$CR$2,IF('Pollas Fase de Grupos'!CS23&gt;'Pollas Fase de Grupos'!CR23,'Pollas Fase de Grupos'!$CS$2,"EMPATE"))</f>
        <v>Portugal</v>
      </c>
      <c r="CQ23" s="85">
        <f>PUNTAJE_GANADORES('Pollas Fase de Grupos'!CR23,'Resultados Oficiales Fase de Gr'!$D$63,'Pollas Fase de Grupos'!CS23,'Resultados Oficiales Fase de Gr'!$E$63,CP23,'Resultados Oficiales Fase de Gr'!$G$63)</f>
        <v>0</v>
      </c>
      <c r="CR23" s="85" t="str">
        <f>IF('Pollas Fase de Grupos'!CT23&gt;'Pollas Fase de Grupos'!CU23,'Pollas Fase de Grupos'!$CT$2,IF('Pollas Fase de Grupos'!CU23&gt;'Pollas Fase de Grupos'!CT23,'Pollas Fase de Grupos'!$CU$2,"EMPATE"))</f>
        <v>Uruguay</v>
      </c>
      <c r="CS23" s="85">
        <f>PUNTAJE_GANADORES('Pollas Fase de Grupos'!CT23,'Resultados Oficiales Fase de Gr'!$D$64,'Pollas Fase de Grupos'!CU23,'Resultados Oficiales Fase de Gr'!$E$64,CR23,'Resultados Oficiales Fase de Gr'!$G$64)</f>
        <v>5</v>
      </c>
      <c r="CT23" s="4">
        <f t="shared" si="1"/>
        <v>84</v>
      </c>
      <c r="CU23" s="17">
        <v>57.0</v>
      </c>
      <c r="CV23" s="3">
        <f t="shared" si="2"/>
        <v>86</v>
      </c>
    </row>
    <row r="24">
      <c r="A24" s="3" t="str">
        <f>'Pollas Fase de Grupos'!CV24</f>
        <v>TV y Novelas</v>
      </c>
      <c r="B24" s="4" t="str">
        <f>IF('Pollas Fase de Grupos'!D24&gt;'Pollas Fase de Grupos'!E24,'Pollas Fase de Grupos'!$D$2,IF('Pollas Fase de Grupos'!E24&gt;'Pollas Fase de Grupos'!D24,'Pollas Fase de Grupos'!$E$2,"EMPATE"))</f>
        <v>Ecuador</v>
      </c>
      <c r="C24" s="4">
        <f>PUNTAJE_GANADORES('Pollas Fase de Grupos'!D24,'Resultados Oficiales Fase de Gr'!$D$3,'Pollas Fase de Grupos'!E24,'Resultados Oficiales Fase de Gr'!$E$3,B24,'Resultados Oficiales Fase de Gr'!$G$3)</f>
        <v>3</v>
      </c>
      <c r="D24" s="85" t="str">
        <f>IF('Pollas Fase de Grupos'!F24&gt;'Pollas Fase de Grupos'!G24,'Pollas Fase de Grupos'!$F$2,IF('Pollas Fase de Grupos'!G24&gt;'Pollas Fase de Grupos'!F24,'Pollas Fase de Grupos'!$G$2,"EMPATE"))</f>
        <v>Paises Bajos</v>
      </c>
      <c r="E24" s="4">
        <f>PUNTAJE_GANADORES('Pollas Fase de Grupos'!F24,'Resultados Oficiales Fase de Gr'!$D$4,'Pollas Fase de Grupos'!G24,'Resultados Oficiales Fase de Gr'!$E$4,D24,'Resultados Oficiales Fase de Gr'!$G$4)</f>
        <v>3</v>
      </c>
      <c r="F24" s="85" t="str">
        <f>IF('Pollas Fase de Grupos'!H24&gt;'Pollas Fase de Grupos'!I24,'Pollas Fase de Grupos'!$H$2,IF('Pollas Fase de Grupos'!I24&gt;'Pollas Fase de Grupos'!H24,'Pollas Fase de Grupos'!$I$2,"EMPATE"))</f>
        <v>Senegal</v>
      </c>
      <c r="G24" s="4">
        <f>PUNTAJE_GANADORES('Pollas Fase de Grupos'!H24,'Resultados Oficiales Fase de Gr'!$D$5,'Pollas Fase de Grupos'!I24,'Resultados Oficiales Fase de Gr'!$E$5,F24,'Resultados Oficiales Fase de Gr'!$G$5)</f>
        <v>3</v>
      </c>
      <c r="H24" s="85" t="str">
        <f>IF('Pollas Fase de Grupos'!J24&gt;'Pollas Fase de Grupos'!K24,'Pollas Fase de Grupos'!$J$2,IF('Pollas Fase de Grupos'!K24&gt;'Pollas Fase de Grupos'!J24,'Pollas Fase de Grupos'!$K$2,"EMPATE"))</f>
        <v>EMPATE</v>
      </c>
      <c r="I24" s="4">
        <f>PUNTAJE_GANADORES('Pollas Fase de Grupos'!J24,'Resultados Oficiales Fase de Gr'!$D$6,'Pollas Fase de Grupos'!K24,'Resultados Oficiales Fase de Gr'!$E$6,H24,'Resultados Oficiales Fase de Gr'!$G$6)</f>
        <v>1</v>
      </c>
      <c r="J24" s="85" t="str">
        <f>IF('Pollas Fase de Grupos'!L24&gt;'Pollas Fase de Grupos'!M24,'Pollas Fase de Grupos'!$L$2,IF('Pollas Fase de Grupos'!M24&gt;'Pollas Fase de Grupos'!L24,'Pollas Fase de Grupos'!$M$2,"EMPATE"))</f>
        <v>Paises Bajos</v>
      </c>
      <c r="K24" s="4">
        <f>PUNTAJE_GANADORES('Pollas Fase de Grupos'!L24,'Resultados Oficiales Fase de Gr'!$D$7,'Pollas Fase de Grupos'!M24,'Resultados Oficiales Fase de Gr'!$E$7,J24,'Resultados Oficiales Fase de Gr'!$G$7)</f>
        <v>5</v>
      </c>
      <c r="L24" s="85" t="str">
        <f>IF('Pollas Fase de Grupos'!N24&gt;'Pollas Fase de Grupos'!O24,'Pollas Fase de Grupos'!$N$2,IF('Pollas Fase de Grupos'!O24&gt;'Pollas Fase de Grupos'!N24,'Pollas Fase de Grupos'!$O$2,"EMPATE"))</f>
        <v>Ecuador</v>
      </c>
      <c r="M24" s="85">
        <f>PUNTAJE_GANADORES('Pollas Fase de Grupos'!N24,'Resultados Oficiales Fase de Gr'!$D$8,'Pollas Fase de Grupos'!O24,'Resultados Oficiales Fase de Gr'!$E$8,L24,'Resultados Oficiales Fase de Gr'!$G$8)</f>
        <v>0</v>
      </c>
      <c r="N24" s="85" t="str">
        <f>IF('Pollas Fase de Grupos'!P24&gt;'Pollas Fase de Grupos'!Q24,'Pollas Fase de Grupos'!$P$2,IF('Pollas Fase de Grupos'!Q24&gt;'Pollas Fase de Grupos'!P24,'Pollas Fase de Grupos'!$Q$2,"EMPATE"))</f>
        <v>Inglaterra</v>
      </c>
      <c r="O24" s="85">
        <f>PUNTAJE_GANADORES('Pollas Fase de Grupos'!P24,'Resultados Oficiales Fase de Gr'!$D$11,'Pollas Fase de Grupos'!Q24,'Resultados Oficiales Fase de Gr'!$E$11,N24,'Resultados Oficiales Fase de Gr'!$G$11)</f>
        <v>2</v>
      </c>
      <c r="P24" s="4" t="str">
        <f>IF('Pollas Fase de Grupos'!R24&gt;'Pollas Fase de Grupos'!S24,'Pollas Fase de Grupos'!$R$2,IF('Pollas Fase de Grupos'!S24&gt;'Pollas Fase de Grupos'!R24,'Pollas Fase de Grupos'!$S$2,"EMPATE"))</f>
        <v>EMPATE</v>
      </c>
      <c r="Q24" s="85">
        <f>PUNTAJE_GANADORES('Pollas Fase de Grupos'!R24,'Resultados Oficiales Fase de Gr'!$D$12,'Pollas Fase de Grupos'!S24,'Resultados Oficiales Fase de Gr'!$E$12,P24,'Resultados Oficiales Fase de Gr'!$G$12)</f>
        <v>5</v>
      </c>
      <c r="R24" s="85" t="str">
        <f>IF('Pollas Fase de Grupos'!T24&gt;'Pollas Fase de Grupos'!U24,'Pollas Fase de Grupos'!$T$2,IF('Pollas Fase de Grupos'!U24&gt;'Pollas Fase de Grupos'!T24,'Pollas Fase de Grupos'!$U$2,"EMPATE"))</f>
        <v>Inglaterra</v>
      </c>
      <c r="S24" s="4">
        <f>PUNTAJE_GANADORES('Pollas Fase de Grupos'!T24,'Resultados Oficiales Fase de Gr'!$D$13,'Pollas Fase de Grupos'!U24,'Resultados Oficiales Fase de Gr'!$E$13,R24,'Resultados Oficiales Fase de Gr'!$G$13)</f>
        <v>1</v>
      </c>
      <c r="T24" s="85" t="str">
        <f>IF('Pollas Fase de Grupos'!V24&gt;'Pollas Fase de Grupos'!W24,'Pollas Fase de Grupos'!$V$2,IF('Pollas Fase de Grupos'!W24&gt;'Pollas Fase de Grupos'!V24,'Pollas Fase de Grupos'!$W$2,"EMPATE"))</f>
        <v>EMPATE</v>
      </c>
      <c r="U24" s="86">
        <f>PUNTAJE_GANADORES('Pollas Fase de Grupos'!V24,'Resultados Oficiales Fase de Gr'!$D$14,'Pollas Fase de Grupos'!W24,'Resultados Oficiales Fase de Gr'!$E$14,T24,'Resultados Oficiales Fase de Gr'!$G$14)</f>
        <v>1</v>
      </c>
      <c r="V24" s="85" t="str">
        <f>IF('Pollas Fase de Grupos'!X24&gt;'Pollas Fase de Grupos'!Y24,'Pollas Fase de Grupos'!$X$2,IF('Pollas Fase de Grupos'!Y24&gt;'Pollas Fase de Grupos'!X24,'Pollas Fase de Grupos'!$Y$2,"EMPATE"))</f>
        <v>Inglaterra</v>
      </c>
      <c r="W24" s="85">
        <f>PUNTAJE_GANADORES('Pollas Fase de Grupos'!X24,'Resultados Oficiales Fase de Gr'!$D$15,'Pollas Fase de Grupos'!Y24,'Resultados Oficiales Fase de Gr'!$E$15,V24,'Resultados Oficiales Fase de Gr'!$G$15)</f>
        <v>3</v>
      </c>
      <c r="X24" s="85" t="str">
        <f>IF('Pollas Fase de Grupos'!Z24&gt;'Pollas Fase de Grupos'!AA24,'Pollas Fase de Grupos'!$Z$2,IF('Pollas Fase de Grupos'!AA24&gt;'Pollas Fase de Grupos'!Z24,'Pollas Fase de Grupos'!$AA$2,"EMPATE"))</f>
        <v>Estados Unidos</v>
      </c>
      <c r="Y24" s="87">
        <f>PUNTAJE_GANADORES('Pollas Fase de Grupos'!Z24,'Resultados Oficiales Fase de Gr'!$D$16,'Pollas Fase de Grupos'!AA24,'Resultados Oficiales Fase de Gr'!$E$16,X24,'Resultados Oficiales Fase de Gr'!$G$16)</f>
        <v>5</v>
      </c>
      <c r="Z24" s="85" t="str">
        <f>IF('Pollas Fase de Grupos'!AB24&gt;'Pollas Fase de Grupos'!AC24,'Pollas Fase de Grupos'!$AB$2,IF('Pollas Fase de Grupos'!AC24&gt;'Pollas Fase de Grupos'!AB24,'Pollas Fase de Grupos'!$AC$2,"EMPATE"))</f>
        <v>Argentina</v>
      </c>
      <c r="AA24" s="85">
        <f>PUNTAJE_GANADORES('Pollas Fase de Grupos'!AB24,'Resultados Oficiales Fase de Gr'!$D$19,'Pollas Fase de Grupos'!AC24,'Resultados Oficiales Fase de Gr'!$E$19,Z24,'Resultados Oficiales Fase de Gr'!$G$19)</f>
        <v>0</v>
      </c>
      <c r="AB24" s="85" t="str">
        <f>IF('Pollas Fase de Grupos'!AD24&gt;'Pollas Fase de Grupos'!AE24,'Pollas Fase de Grupos'!$AD$2,IF('Pollas Fase de Grupos'!AE24&gt;'Pollas Fase de Grupos'!AD24,'Pollas Fase de Grupos'!$AE$2,"EMPATE"))</f>
        <v>EMPATE</v>
      </c>
      <c r="AC24" s="85">
        <f>PUNTAJE_GANADORES('Pollas Fase de Grupos'!AD24,'Resultados Oficiales Fase de Gr'!$D$20,'Pollas Fase de Grupos'!AE24,'Resultados Oficiales Fase de Gr'!$E$20,AB24,'Resultados Oficiales Fase de Gr'!$G$20)</f>
        <v>1</v>
      </c>
      <c r="AD24" s="85" t="str">
        <f>IF('Pollas Fase de Grupos'!AF24&gt;'Pollas Fase de Grupos'!AG24,'Pollas Fase de Grupos'!$AF$2,IF('Pollas Fase de Grupos'!AG24&gt;'Pollas Fase de Grupos'!AF24,'Pollas Fase de Grupos'!$AG$2,"EMPATE"))</f>
        <v>Argentina</v>
      </c>
      <c r="AE24" s="85">
        <f>PUNTAJE_GANADORES('Pollas Fase de Grupos'!AF24,'Resultados Oficiales Fase de Gr'!$D$21,'Pollas Fase de Grupos'!AG24,'Resultados Oficiales Fase de Gr'!$E$21,AD24,'Resultados Oficiales Fase de Gr'!$G$21)</f>
        <v>3</v>
      </c>
      <c r="AF24" s="85" t="str">
        <f>IF('Pollas Fase de Grupos'!AH24&gt;'Pollas Fase de Grupos'!AI24,'Pollas Fase de Grupos'!$AH$2,IF('Pollas Fase de Grupos'!AI24&gt;'Pollas Fase de Grupos'!AH24,'Pollas Fase de Grupos'!$AI$2,"EMPATE"))</f>
        <v>Polonia</v>
      </c>
      <c r="AG24" s="85">
        <f>PUNTAJE_GANADORES('Pollas Fase de Grupos'!AH24,'Resultados Oficiales Fase de Gr'!$D$22,'Pollas Fase de Grupos'!AI24,'Resultados Oficiales Fase de Gr'!$E$22,AF24,'Resultados Oficiales Fase de Gr'!$G$22)</f>
        <v>3</v>
      </c>
      <c r="AH24" s="85" t="str">
        <f>IF('Pollas Fase de Grupos'!AJ24&gt;'Pollas Fase de Grupos'!AK24,'Pollas Fase de Grupos'!$AJ$2,IF('Pollas Fase de Grupos'!AK24&gt;'Pollas Fase de Grupos'!AJ24,'Pollas Fase de Grupos'!$AK$2,"EMPATE"))</f>
        <v>Argentina</v>
      </c>
      <c r="AI24" s="85">
        <f>PUNTAJE_GANADORES('Pollas Fase de Grupos'!AJ24,'Resultados Oficiales Fase de Gr'!$D$23,'Pollas Fase de Grupos'!AK24,'Resultados Oficiales Fase de Gr'!$E$23,AH24,'Resultados Oficiales Fase de Gr'!$G$23)</f>
        <v>3</v>
      </c>
      <c r="AJ24" s="85" t="str">
        <f>IF('Pollas Fase de Grupos'!AL24&gt;'Pollas Fase de Grupos'!AM24,'Pollas Fase de Grupos'!$AL$2,IF('Pollas Fase de Grupos'!AM24&gt;'Pollas Fase de Grupos'!AL24,'Pollas Fase de Grupos'!$AM$2,"EMPATE"))</f>
        <v>EMPATE</v>
      </c>
      <c r="AK24" s="85">
        <f>PUNTAJE_GANADORES('Pollas Fase de Grupos'!AL24,'Resultados Oficiales Fase de Gr'!$D$24,'Pollas Fase de Grupos'!AM24,'Resultados Oficiales Fase de Gr'!$E$24,AJ24,'Resultados Oficiales Fase de Gr'!$G$24)</f>
        <v>1</v>
      </c>
      <c r="AL24" s="85" t="str">
        <f>IF('Pollas Fase de Grupos'!AN24&gt;'Pollas Fase de Grupos'!AO24,'Pollas Fase de Grupos'!$AN$2,IF('Pollas Fase de Grupos'!AO24&gt;'Pollas Fase de Grupos'!AN24,'Pollas Fase de Grupos'!$AO$2,"EMPATE"))</f>
        <v>Francia</v>
      </c>
      <c r="AM24" s="85">
        <f>PUNTAJE_GANADORES('Pollas Fase de Grupos'!AN24,'Resultados Oficiales Fase de Gr'!$D$27,'Pollas Fase de Grupos'!AO24,'Resultados Oficiales Fase de Gr'!$E$27,AL24,'Resultados Oficiales Fase de Gr'!$G$27)</f>
        <v>2</v>
      </c>
      <c r="AN24" s="85" t="str">
        <f>IF('Pollas Fase de Grupos'!AP24&gt;'Pollas Fase de Grupos'!AQ24,'Pollas Fase de Grupos'!$AP$2,IF('Pollas Fase de Grupos'!AQ24&gt;'Pollas Fase de Grupos'!AP24,'Pollas Fase de Grupos'!$AQ$2,"EMPATE"))</f>
        <v>Dinamarca</v>
      </c>
      <c r="AO24" s="85">
        <f>PUNTAJE_GANADORES('Pollas Fase de Grupos'!AP24,'Resultados Oficiales Fase de Gr'!$D$28,'Pollas Fase de Grupos'!AQ24,'Resultados Oficiales Fase de Gr'!$E$28,AN24,'Resultados Oficiales Fase de Gr'!$G$28)</f>
        <v>0</v>
      </c>
      <c r="AP24" s="85" t="str">
        <f>IF('Pollas Fase de Grupos'!AR24&gt;'Pollas Fase de Grupos'!AS24,'Pollas Fase de Grupos'!$AR$2,IF('Pollas Fase de Grupos'!AS24&gt;'Pollas Fase de Grupos'!AR24,'Pollas Fase de Grupos'!$AS$2,"EMPATE"))</f>
        <v>EMPATE</v>
      </c>
      <c r="AQ24" s="85">
        <f>PUNTAJE_GANADORES('Pollas Fase de Grupos'!AR24,'Resultados Oficiales Fase de Gr'!$D$29,'Pollas Fase de Grupos'!AS24,'Resultados Oficiales Fase de Gr'!$E$29,AP24,'Resultados Oficiales Fase de Gr'!$G$29)</f>
        <v>0</v>
      </c>
      <c r="AR24" s="85" t="str">
        <f>IF('Pollas Fase de Grupos'!AT24&gt;'Pollas Fase de Grupos'!AU24,'Pollas Fase de Grupos'!$AT$2,IF('Pollas Fase de Grupos'!AU24&gt;'Pollas Fase de Grupos'!AT24,'Pollas Fase de Grupos'!$AU$2,"EMPATE"))</f>
        <v>Australia</v>
      </c>
      <c r="AS24" s="85">
        <f>PUNTAJE_GANADORES('Pollas Fase de Grupos'!AT24,'Resultados Oficiales Fase de Gr'!$D$30,'Pollas Fase de Grupos'!AU24,'Resultados Oficiales Fase de Gr'!$E$30,AR24,'Resultados Oficiales Fase de Gr'!$G$30)</f>
        <v>5</v>
      </c>
      <c r="AT24" s="85" t="str">
        <f>IF('Pollas Fase de Grupos'!AV24&gt;'Pollas Fase de Grupos'!AW24,'Pollas Fase de Grupos'!$AV$2,IF('Pollas Fase de Grupos'!AW24&gt;'Pollas Fase de Grupos'!AV24,'Pollas Fase de Grupos'!$AW$2,"EMPATE"))</f>
        <v>Francia</v>
      </c>
      <c r="AU24" s="85">
        <f>PUNTAJE_GANADORES('Pollas Fase de Grupos'!AV24,'Resultados Oficiales Fase de Gr'!$D$31,'Pollas Fase de Grupos'!AW24,'Resultados Oficiales Fase de Gr'!$E$31,AT24,'Resultados Oficiales Fase de Gr'!$G$31)</f>
        <v>1</v>
      </c>
      <c r="AV24" s="85" t="str">
        <f>IF('Pollas Fase de Grupos'!AX24&gt;'Pollas Fase de Grupos'!AY24,'Pollas Fase de Grupos'!$AX$2,IF('Pollas Fase de Grupos'!AY24&gt;'Pollas Fase de Grupos'!AX24,'Pollas Fase de Grupos'!$AY$2,"EMPATE"))</f>
        <v>Dinamarca</v>
      </c>
      <c r="AW24" s="85">
        <f>PUNTAJE_GANADORES('Pollas Fase de Grupos'!AX24,'Resultados Oficiales Fase de Gr'!$D$32,'Pollas Fase de Grupos'!AY24,'Resultados Oficiales Fase de Gr'!$E$32,AV24,'Resultados Oficiales Fase de Gr'!$G$32)</f>
        <v>1</v>
      </c>
      <c r="AX24" s="85" t="str">
        <f>IF('Pollas Fase de Grupos'!AZ24&gt;'Pollas Fase de Grupos'!BA24,'Pollas Fase de Grupos'!$AZ$2,IF('Pollas Fase de Grupos'!BA24&gt;'Pollas Fase de Grupos'!AZ24,'Pollas Fase de Grupos'!$BA$2,"EMPATE"))</f>
        <v>España</v>
      </c>
      <c r="AY24" s="85">
        <f>PUNTAJE_GANADORES('Pollas Fase de Grupos'!AZ24,'Resultados Oficiales Fase de Gr'!$D$35,'Pollas Fase de Grupos'!BA24,'Resultados Oficiales Fase de Gr'!$E$35,AX24,'Resultados Oficiales Fase de Gr'!$G$35)</f>
        <v>1</v>
      </c>
      <c r="AZ24" s="85" t="str">
        <f>IF('Pollas Fase de Grupos'!BB24&gt;'Pollas Fase de Grupos'!BC24,'Pollas Fase de Grupos'!$BB$2,IF('Pollas Fase de Grupos'!BC24&gt;'Pollas Fase de Grupos'!BB24,'Pollas Fase de Grupos'!$BC$2,"EMPATE"))</f>
        <v>Alemania</v>
      </c>
      <c r="BA24" s="85">
        <f>PUNTAJE_GANADORES('Pollas Fase de Grupos'!BB24,'Resultados Oficiales Fase de Gr'!$D$36,'Pollas Fase de Grupos'!BC24,'Resultados Oficiales Fase de Gr'!$E$36,AZ24,'Resultados Oficiales Fase de Gr'!$G$36)</f>
        <v>0</v>
      </c>
      <c r="BB24" s="85" t="str">
        <f>IF('Pollas Fase de Grupos'!BD24&gt;'Pollas Fase de Grupos'!BE24,'Pollas Fase de Grupos'!$BD$2,IF('Pollas Fase de Grupos'!BE24&gt;'Pollas Fase de Grupos'!BD24,'Pollas Fase de Grupos'!$BE$2,"EMPATE"))</f>
        <v>EMPATE</v>
      </c>
      <c r="BC24" s="85">
        <f>PUNTAJE_GANADORES('Pollas Fase de Grupos'!BD24,'Resultados Oficiales Fase de Gr'!$D$37,'Pollas Fase de Grupos'!BE24,'Resultados Oficiales Fase de Gr'!$E$37,BB24,'Resultados Oficiales Fase de Gr'!$G$37)</f>
        <v>1</v>
      </c>
      <c r="BD24" s="85" t="str">
        <f>IF('Pollas Fase de Grupos'!BF24&gt;'Pollas Fase de Grupos'!BG24,'Pollas Fase de Grupos'!$BF$2,IF('Pollas Fase de Grupos'!BG24&gt;'Pollas Fase de Grupos'!BF24,'Pollas Fase de Grupos'!$BG$2,"EMPATE"))</f>
        <v>Japon</v>
      </c>
      <c r="BE24" s="85">
        <f>PUNTAJE_GANADORES('Pollas Fase de Grupos'!BF24,'Resultados Oficiales Fase de Gr'!$D$38,'Pollas Fase de Grupos'!BG24,'Resultados Oficiales Fase de Gr'!$E$38,BD24,'Resultados Oficiales Fase de Gr'!$G$38)</f>
        <v>0</v>
      </c>
      <c r="BF24" s="85" t="str">
        <f>IF('Pollas Fase de Grupos'!BH24&gt;'Pollas Fase de Grupos'!BI24,'Pollas Fase de Grupos'!$BH$2,IF('Pollas Fase de Grupos'!BI24&gt;'Pollas Fase de Grupos'!BH24,'Pollas Fase de Grupos'!$BI$2,"EMPATE"))</f>
        <v>España</v>
      </c>
      <c r="BG24" s="85">
        <f>PUNTAJE_GANADORES('Pollas Fase de Grupos'!BH24,'Resultados Oficiales Fase de Gr'!$D$39,'Pollas Fase de Grupos'!BI24,'Resultados Oficiales Fase de Gr'!$E$39,BF24,'Resultados Oficiales Fase de Gr'!$G$39)</f>
        <v>0</v>
      </c>
      <c r="BH24" s="85" t="str">
        <f>IF('Pollas Fase de Grupos'!BJ24&gt;'Pollas Fase de Grupos'!BK24,'Pollas Fase de Grupos'!$BJ$2,IF('Pollas Fase de Grupos'!BK24&gt;'Pollas Fase de Grupos'!BJ24,'Pollas Fase de Grupos'!$BK$2,"EMPATE"))</f>
        <v>Alemania</v>
      </c>
      <c r="BI24" s="85">
        <f>PUNTAJE_GANADORES('Pollas Fase de Grupos'!BJ24,'Resultados Oficiales Fase de Gr'!$D$40,'Pollas Fase de Grupos'!BK24,'Resultados Oficiales Fase de Gr'!$E$40,BH24,'Resultados Oficiales Fase de Gr'!$G$40)</f>
        <v>2</v>
      </c>
      <c r="BJ24" s="85" t="str">
        <f>IF('Pollas Fase de Grupos'!BL24&gt;'Pollas Fase de Grupos'!BM24,'Pollas Fase de Grupos'!$BL$2,IF('Pollas Fase de Grupos'!BM24&gt;'Pollas Fase de Grupos'!BL24,'Pollas Fase de Grupos'!$BM$2,"EMPATE"))</f>
        <v>Belgica</v>
      </c>
      <c r="BK24" s="85">
        <f>PUNTAJE_GANADORES('Pollas Fase de Grupos'!BL24,'Resultados Oficiales Fase de Gr'!$D$43,'Pollas Fase de Grupos'!BM24,'Resultados Oficiales Fase de Gr'!$E$43,BJ24,'Resultados Oficiales Fase de Gr'!$G$43)</f>
        <v>3</v>
      </c>
      <c r="BL24" s="85" t="str">
        <f>IF('Pollas Fase de Grupos'!BN24&gt;'Pollas Fase de Grupos'!BO24,'Pollas Fase de Grupos'!$BN$2,IF('Pollas Fase de Grupos'!BO24&gt;'Pollas Fase de Grupos'!BN24,'Pollas Fase de Grupos'!$BO$2,"EMPATE"))</f>
        <v>Croacia</v>
      </c>
      <c r="BM24" s="85">
        <f>PUNTAJE_GANADORES('Pollas Fase de Grupos'!BN24,'Resultados Oficiales Fase de Gr'!$D$44,'Pollas Fase de Grupos'!BO24,'Resultados Oficiales Fase de Gr'!$E$44,BL24,'Resultados Oficiales Fase de Gr'!$G$44)</f>
        <v>1</v>
      </c>
      <c r="BN24" s="85" t="str">
        <f>IF('Pollas Fase de Grupos'!BP24&gt;'Pollas Fase de Grupos'!BQ24,'Pollas Fase de Grupos'!$BP$2,IF('Pollas Fase de Grupos'!BQ24&gt;'Pollas Fase de Grupos'!BP24,'Pollas Fase de Grupos'!$BQ$2,"EMPATE"))</f>
        <v>Belgica</v>
      </c>
      <c r="BO24" s="85">
        <f>PUNTAJE_GANADORES('Pollas Fase de Grupos'!BP24,'Resultados Oficiales Fase de Gr'!$D$45,'Pollas Fase de Grupos'!BQ24,'Resultados Oficiales Fase de Gr'!$E$45,BN24,'Resultados Oficiales Fase de Gr'!$G$45)</f>
        <v>0</v>
      </c>
      <c r="BP24" s="85" t="str">
        <f>IF('Pollas Fase de Grupos'!BR24&gt;'Pollas Fase de Grupos'!BS24,'Pollas Fase de Grupos'!$BR$2,IF('Pollas Fase de Grupos'!BS24&gt;'Pollas Fase de Grupos'!BR24,'Pollas Fase de Grupos'!$BS$2,"EMPATE"))</f>
        <v>Croacia</v>
      </c>
      <c r="BQ24" s="85">
        <f>PUNTAJE_GANADORES('Pollas Fase de Grupos'!BR24,'Resultados Oficiales Fase de Gr'!$D$46,'Pollas Fase de Grupos'!BS24,'Resultados Oficiales Fase de Gr'!$E$46,BP24,'Resultados Oficiales Fase de Gr'!$G$46)</f>
        <v>3</v>
      </c>
      <c r="BR24" s="85" t="str">
        <f>IF('Pollas Fase de Grupos'!BT24&gt;'Pollas Fase de Grupos'!BU24,'Pollas Fase de Grupos'!$BT$2,IF('Pollas Fase de Grupos'!BU24&gt;'Pollas Fase de Grupos'!BT24,'Pollas Fase de Grupos'!$BU$2,"EMPATE"))</f>
        <v>EMPATE</v>
      </c>
      <c r="BS24" s="85">
        <f>PUNTAJE_GANADORES('Pollas Fase de Grupos'!BT24,'Resultados Oficiales Fase de Gr'!$D$47,'Pollas Fase de Grupos'!BU24,'Resultados Oficiales Fase de Gr'!$E$47,BR24,'Resultados Oficiales Fase de Gr'!$G$47)</f>
        <v>1</v>
      </c>
      <c r="BT24" s="85" t="str">
        <f>IF('Pollas Fase de Grupos'!BV24&gt;'Pollas Fase de Grupos'!BW24,'Pollas Fase de Grupos'!$BV$2,IF('Pollas Fase de Grupos'!BW24&gt;'Pollas Fase de Grupos'!BV24,'Pollas Fase de Grupos'!$BW$2,"EMPATE"))</f>
        <v>Canada</v>
      </c>
      <c r="BU24" s="85">
        <f>PUNTAJE_GANADORES('Pollas Fase de Grupos'!BV24,'Resultados Oficiales Fase de Gr'!$D$48,'Pollas Fase de Grupos'!BW24,'Resultados Oficiales Fase de Gr'!$E$48,BT24,'Resultados Oficiales Fase de Gr'!$G$48)</f>
        <v>1</v>
      </c>
      <c r="BV24" s="85" t="str">
        <f>IF('Pollas Fase de Grupos'!BX24&gt;'Pollas Fase de Grupos'!BY24,'Pollas Fase de Grupos'!$BX$2,IF('Pollas Fase de Grupos'!BY24&gt;'Pollas Fase de Grupos'!BX24,'Pollas Fase de Grupos'!$BY$2,"EMPATE"))</f>
        <v>Brasil</v>
      </c>
      <c r="BW24" s="85">
        <f>PUNTAJE_GANADORES('Pollas Fase de Grupos'!BX24,'Resultados Oficiales Fase de Gr'!$D$51,'Pollas Fase de Grupos'!BY24,'Resultados Oficiales Fase de Gr'!$E$51,BV24,'Resultados Oficiales Fase de Gr'!$G$51)</f>
        <v>3</v>
      </c>
      <c r="BX24" s="85" t="str">
        <f>IF('Pollas Fase de Grupos'!BZ24&gt;'Pollas Fase de Grupos'!CA24,'Pollas Fase de Grupos'!$BZ$2,IF('Pollas Fase de Grupos'!CA24&gt;'Pollas Fase de Grupos'!BZ24,'Pollas Fase de Grupos'!$CA$2,"EMPATE"))</f>
        <v>EMPATE</v>
      </c>
      <c r="BY24" s="85">
        <f>PUNTAJE_GANADORES('Pollas Fase de Grupos'!BZ24,'Resultados Oficiales Fase de Gr'!$D$52,'Pollas Fase de Grupos'!CA24,'Resultados Oficiales Fase de Gr'!$E$52,BX24,'Resultados Oficiales Fase de Gr'!$G$52)</f>
        <v>1</v>
      </c>
      <c r="BZ24" s="85" t="str">
        <f>IF('Pollas Fase de Grupos'!CB24&gt;'Pollas Fase de Grupos'!CC24,'Pollas Fase de Grupos'!$CB$2,IF('Pollas Fase de Grupos'!CC24&gt;'Pollas Fase de Grupos'!CB24,'Pollas Fase de Grupos'!$CC$2,"EMPATE"))</f>
        <v>Brasil</v>
      </c>
      <c r="CA24" s="85">
        <f>PUNTAJE_GANADORES('Pollas Fase de Grupos'!CB24,'Resultados Oficiales Fase de Gr'!$D$53,'Pollas Fase de Grupos'!CC24,'Resultados Oficiales Fase de Gr'!$E$53,BZ24,'Resultados Oficiales Fase de Gr'!$G$53)</f>
        <v>3</v>
      </c>
      <c r="CB24" s="85" t="str">
        <f>IF('Pollas Fase de Grupos'!CD24&gt;'Pollas Fase de Grupos'!CE24,'Pollas Fase de Grupos'!$CD$2,IF('Pollas Fase de Grupos'!CE24&gt;'Pollas Fase de Grupos'!CD24,'Pollas Fase de Grupos'!$CE$2,"EMPATE"))</f>
        <v>Camerun</v>
      </c>
      <c r="CC24" s="85">
        <f>PUNTAJE_GANADORES('Pollas Fase de Grupos'!CD24,'Resultados Oficiales Fase de Gr'!$D$54,'Pollas Fase de Grupos'!CE24,'Resultados Oficiales Fase de Gr'!$E$54,CB24,'Resultados Oficiales Fase de Gr'!$G$54)</f>
        <v>0</v>
      </c>
      <c r="CD24" s="85" t="str">
        <f>IF('Pollas Fase de Grupos'!CF24&gt;'Pollas Fase de Grupos'!CG24,'Pollas Fase de Grupos'!$CF$2,IF('Pollas Fase de Grupos'!CG24&gt;'Pollas Fase de Grupos'!CF24,'Pollas Fase de Grupos'!$CG$2,"EMPATE"))</f>
        <v>Brasil</v>
      </c>
      <c r="CE24" s="85">
        <f>PUNTAJE_GANADORES('Pollas Fase de Grupos'!CF24,'Resultados Oficiales Fase de Gr'!$D$55,'Pollas Fase de Grupos'!CG24,'Resultados Oficiales Fase de Gr'!$E$55,CD24,'Resultados Oficiales Fase de Gr'!$G$55)</f>
        <v>1</v>
      </c>
      <c r="CF24" s="85" t="str">
        <f>IF('Pollas Fase de Grupos'!CH24&gt;'Pollas Fase de Grupos'!CI24,'Pollas Fase de Grupos'!$CH$2,IF('Pollas Fase de Grupos'!CI24&gt;'Pollas Fase de Grupos'!CH24,'Pollas Fase de Grupos'!$CI$2,"EMPATE"))</f>
        <v>Serbia</v>
      </c>
      <c r="CG24" s="85">
        <f>PUNTAJE_GANADORES('Pollas Fase de Grupos'!CH24,'Resultados Oficiales Fase de Gr'!$D$56,'Pollas Fase de Grupos'!CI24,'Resultados Oficiales Fase de Gr'!$E$56,CF24,'Resultados Oficiales Fase de Gr'!$G$56)</f>
        <v>1</v>
      </c>
      <c r="CH24" s="85" t="str">
        <f>IF('Pollas Fase de Grupos'!CJ24&gt;'Pollas Fase de Grupos'!CK24,'Pollas Fase de Grupos'!$CJ$2,IF('Pollas Fase de Grupos'!CK24&gt;'Pollas Fase de Grupos'!CJ24,'Pollas Fase de Grupos'!$CK$2,"EMPATE"))</f>
        <v>Portugal</v>
      </c>
      <c r="CI24" s="85">
        <f>PUNTAJE_GANADORES('Pollas Fase de Grupos'!CJ24,'Resultados Oficiales Fase de Gr'!$D$59,'Pollas Fase de Grupos'!CK24,'Resultados Oficiales Fase de Gr'!$E$59,CH24,'Resultados Oficiales Fase de Gr'!$G$59)</f>
        <v>2</v>
      </c>
      <c r="CJ24" s="85" t="str">
        <f>IF('Pollas Fase de Grupos'!CL24&gt;'Pollas Fase de Grupos'!CM24,'Pollas Fase de Grupos'!$CL$2,IF('Pollas Fase de Grupos'!CM24&gt;'Pollas Fase de Grupos'!CL24,'Pollas Fase de Grupos'!$CM$2,"EMPATE"))</f>
        <v>Uruguay</v>
      </c>
      <c r="CK24" s="85">
        <f>PUNTAJE_GANADORES('Pollas Fase de Grupos'!CL24,'Resultados Oficiales Fase de Gr'!$D$60,'Pollas Fase de Grupos'!CM24,'Resultados Oficiales Fase de Gr'!$E$60,CJ24,'Resultados Oficiales Fase de Gr'!$G$60)</f>
        <v>1</v>
      </c>
      <c r="CL24" s="85" t="str">
        <f>IF('Pollas Fase de Grupos'!CN24&gt;'Pollas Fase de Grupos'!CO24,'Pollas Fase de Grupos'!$CN$2,IF('Pollas Fase de Grupos'!CO24&gt;'Pollas Fase de Grupos'!CN24,'Pollas Fase de Grupos'!$CO$2,"EMPATE"))</f>
        <v>EMPATE</v>
      </c>
      <c r="CM24" s="85">
        <f>PUNTAJE_GANADORES('Pollas Fase de Grupos'!CN24,'Resultados Oficiales Fase de Gr'!$D$61,'Pollas Fase de Grupos'!CO24,'Resultados Oficiales Fase de Gr'!$E$61,CL24,'Resultados Oficiales Fase de Gr'!$G$61)</f>
        <v>0</v>
      </c>
      <c r="CN24" s="85" t="str">
        <f>IF('Pollas Fase de Grupos'!CP24&gt;'Pollas Fase de Grupos'!CQ24,'Pollas Fase de Grupos'!$CP$2,IF('Pollas Fase de Grupos'!CQ24&gt;'Pollas Fase de Grupos'!CP24,'Pollas Fase de Grupos'!$CQ$2,"EMPATE"))</f>
        <v>Ghana</v>
      </c>
      <c r="CO24" s="85">
        <f>PUNTAJE_GANADORES('Pollas Fase de Grupos'!CP24,'Resultados Oficiales Fase de Gr'!$D$62,'Pollas Fase de Grupos'!CQ24,'Resultados Oficiales Fase de Gr'!$E$62,CN24,'Resultados Oficiales Fase de Gr'!$G$62)</f>
        <v>2</v>
      </c>
      <c r="CP24" s="85" t="str">
        <f>IF('Pollas Fase de Grupos'!CR24&gt;'Pollas Fase de Grupos'!CS24,'Pollas Fase de Grupos'!$CR$2,IF('Pollas Fase de Grupos'!CS24&gt;'Pollas Fase de Grupos'!CR24,'Pollas Fase de Grupos'!$CS$2,"EMPATE"))</f>
        <v>Portugal</v>
      </c>
      <c r="CQ24" s="85">
        <f>PUNTAJE_GANADORES('Pollas Fase de Grupos'!CR24,'Resultados Oficiales Fase de Gr'!$D$63,'Pollas Fase de Grupos'!CS24,'Resultados Oficiales Fase de Gr'!$E$63,CP24,'Resultados Oficiales Fase de Gr'!$G$63)</f>
        <v>0</v>
      </c>
      <c r="CR24" s="85" t="str">
        <f>IF('Pollas Fase de Grupos'!CT24&gt;'Pollas Fase de Grupos'!CU24,'Pollas Fase de Grupos'!$CT$2,IF('Pollas Fase de Grupos'!CU24&gt;'Pollas Fase de Grupos'!CT24,'Pollas Fase de Grupos'!$CU$2,"EMPATE"))</f>
        <v>Uruguay</v>
      </c>
      <c r="CS24" s="85">
        <f>PUNTAJE_GANADORES('Pollas Fase de Grupos'!CT24,'Resultados Oficiales Fase de Gr'!$D$64,'Pollas Fase de Grupos'!CU24,'Resultados Oficiales Fase de Gr'!$E$64,CR24,'Resultados Oficiales Fase de Gr'!$G$64)</f>
        <v>3</v>
      </c>
      <c r="CT24" s="4">
        <f t="shared" si="1"/>
        <v>82</v>
      </c>
      <c r="CU24" s="17">
        <v>56.0</v>
      </c>
      <c r="CV24" s="3">
        <f t="shared" si="2"/>
        <v>84</v>
      </c>
    </row>
    <row r="25">
      <c r="A25" s="3" t="str">
        <f>'Pollas Fase de Grupos'!CV25</f>
        <v>El cuculeito del balon</v>
      </c>
      <c r="B25" s="4" t="str">
        <f>IF('Pollas Fase de Grupos'!D25&gt;'Pollas Fase de Grupos'!E25,'Pollas Fase de Grupos'!$D$2,IF('Pollas Fase de Grupos'!E25&gt;'Pollas Fase de Grupos'!D25,'Pollas Fase de Grupos'!$E$2,"EMPATE"))</f>
        <v>EMPATE</v>
      </c>
      <c r="C25" s="4">
        <f>PUNTAJE_GANADORES('Pollas Fase de Grupos'!D25,'Resultados Oficiales Fase de Gr'!$D$3,'Pollas Fase de Grupos'!E25,'Resultados Oficiales Fase de Gr'!$E$3,B25,'Resultados Oficiales Fase de Gr'!$G$3)</f>
        <v>0</v>
      </c>
      <c r="D25" s="85" t="str">
        <f>IF('Pollas Fase de Grupos'!F25&gt;'Pollas Fase de Grupos'!G25,'Pollas Fase de Grupos'!$F$2,IF('Pollas Fase de Grupos'!G25&gt;'Pollas Fase de Grupos'!F25,'Pollas Fase de Grupos'!$G$2,"EMPATE"))</f>
        <v>Paises Bajos</v>
      </c>
      <c r="E25" s="4">
        <f>PUNTAJE_GANADORES('Pollas Fase de Grupos'!F25,'Resultados Oficiales Fase de Gr'!$D$4,'Pollas Fase de Grupos'!G25,'Resultados Oficiales Fase de Gr'!$E$4,D25,'Resultados Oficiales Fase de Gr'!$G$4)</f>
        <v>3</v>
      </c>
      <c r="F25" s="85" t="str">
        <f>IF('Pollas Fase de Grupos'!H25&gt;'Pollas Fase de Grupos'!I25,'Pollas Fase de Grupos'!$H$2,IF('Pollas Fase de Grupos'!I25&gt;'Pollas Fase de Grupos'!H25,'Pollas Fase de Grupos'!$I$2,"EMPATE"))</f>
        <v>Senegal</v>
      </c>
      <c r="G25" s="4">
        <f>PUNTAJE_GANADORES('Pollas Fase de Grupos'!H25,'Resultados Oficiales Fase de Gr'!$D$5,'Pollas Fase de Grupos'!I25,'Resultados Oficiales Fase de Gr'!$E$5,F25,'Resultados Oficiales Fase de Gr'!$G$5)</f>
        <v>2</v>
      </c>
      <c r="H25" s="85" t="str">
        <f>IF('Pollas Fase de Grupos'!J25&gt;'Pollas Fase de Grupos'!K25,'Pollas Fase de Grupos'!$J$2,IF('Pollas Fase de Grupos'!K25&gt;'Pollas Fase de Grupos'!J25,'Pollas Fase de Grupos'!$K$2,"EMPATE"))</f>
        <v>Paises Bajos</v>
      </c>
      <c r="I25" s="4">
        <f>PUNTAJE_GANADORES('Pollas Fase de Grupos'!J25,'Resultados Oficiales Fase de Gr'!$D$6,'Pollas Fase de Grupos'!K25,'Resultados Oficiales Fase de Gr'!$E$6,H25,'Resultados Oficiales Fase de Gr'!$G$6)</f>
        <v>1</v>
      </c>
      <c r="J25" s="85" t="str">
        <f>IF('Pollas Fase de Grupos'!L25&gt;'Pollas Fase de Grupos'!M25,'Pollas Fase de Grupos'!$L$2,IF('Pollas Fase de Grupos'!M25&gt;'Pollas Fase de Grupos'!L25,'Pollas Fase de Grupos'!$M$2,"EMPATE"))</f>
        <v>Paises Bajos</v>
      </c>
      <c r="K25" s="4">
        <f>PUNTAJE_GANADORES('Pollas Fase de Grupos'!L25,'Resultados Oficiales Fase de Gr'!$D$7,'Pollas Fase de Grupos'!M25,'Resultados Oficiales Fase de Gr'!$E$7,J25,'Resultados Oficiales Fase de Gr'!$G$7)</f>
        <v>3</v>
      </c>
      <c r="L25" s="85" t="str">
        <f>IF('Pollas Fase de Grupos'!N25&gt;'Pollas Fase de Grupos'!O25,'Pollas Fase de Grupos'!$N$2,IF('Pollas Fase de Grupos'!O25&gt;'Pollas Fase de Grupos'!N25,'Pollas Fase de Grupos'!$O$2,"EMPATE"))</f>
        <v>EMPATE</v>
      </c>
      <c r="M25" s="85">
        <f>PUNTAJE_GANADORES('Pollas Fase de Grupos'!N25,'Resultados Oficiales Fase de Gr'!$D$8,'Pollas Fase de Grupos'!O25,'Resultados Oficiales Fase de Gr'!$E$8,L25,'Resultados Oficiales Fase de Gr'!$G$8)</f>
        <v>1</v>
      </c>
      <c r="N25" s="85" t="str">
        <f>IF('Pollas Fase de Grupos'!P25&gt;'Pollas Fase de Grupos'!Q25,'Pollas Fase de Grupos'!$P$2,IF('Pollas Fase de Grupos'!Q25&gt;'Pollas Fase de Grupos'!P25,'Pollas Fase de Grupos'!$Q$2,"EMPATE"))</f>
        <v>Inglaterra</v>
      </c>
      <c r="O25" s="85">
        <f>PUNTAJE_GANADORES('Pollas Fase de Grupos'!P25,'Resultados Oficiales Fase de Gr'!$D$11,'Pollas Fase de Grupos'!Q25,'Resultados Oficiales Fase de Gr'!$E$11,N25,'Resultados Oficiales Fase de Gr'!$G$11)</f>
        <v>2</v>
      </c>
      <c r="P25" s="4" t="str">
        <f>IF('Pollas Fase de Grupos'!R25&gt;'Pollas Fase de Grupos'!S25,'Pollas Fase de Grupos'!$R$2,IF('Pollas Fase de Grupos'!S25&gt;'Pollas Fase de Grupos'!R25,'Pollas Fase de Grupos'!$S$2,"EMPATE"))</f>
        <v>Estados Unidos</v>
      </c>
      <c r="Q25" s="85">
        <f>PUNTAJE_GANADORES('Pollas Fase de Grupos'!R25,'Resultados Oficiales Fase de Gr'!$D$12,'Pollas Fase de Grupos'!S25,'Resultados Oficiales Fase de Gr'!$E$12,P25,'Resultados Oficiales Fase de Gr'!$G$12)</f>
        <v>1</v>
      </c>
      <c r="R25" s="85" t="str">
        <f>IF('Pollas Fase de Grupos'!T25&gt;'Pollas Fase de Grupos'!U25,'Pollas Fase de Grupos'!$T$2,IF('Pollas Fase de Grupos'!U25&gt;'Pollas Fase de Grupos'!T25,'Pollas Fase de Grupos'!$U$2,"EMPATE"))</f>
        <v>Inglaterra</v>
      </c>
      <c r="S25" s="4">
        <f>PUNTAJE_GANADORES('Pollas Fase de Grupos'!T25,'Resultados Oficiales Fase de Gr'!$D$13,'Pollas Fase de Grupos'!U25,'Resultados Oficiales Fase de Gr'!$E$13,R25,'Resultados Oficiales Fase de Gr'!$G$13)</f>
        <v>1</v>
      </c>
      <c r="T25" s="85" t="str">
        <f>IF('Pollas Fase de Grupos'!V25&gt;'Pollas Fase de Grupos'!W25,'Pollas Fase de Grupos'!$V$2,IF('Pollas Fase de Grupos'!W25&gt;'Pollas Fase de Grupos'!V25,'Pollas Fase de Grupos'!$W$2,"EMPATE"))</f>
        <v>EMPATE</v>
      </c>
      <c r="U25" s="86">
        <f>PUNTAJE_GANADORES('Pollas Fase de Grupos'!V25,'Resultados Oficiales Fase de Gr'!$D$14,'Pollas Fase de Grupos'!W25,'Resultados Oficiales Fase de Gr'!$E$14,T25,'Resultados Oficiales Fase de Gr'!$G$14)</f>
        <v>0</v>
      </c>
      <c r="V25" s="85" t="str">
        <f>IF('Pollas Fase de Grupos'!X25&gt;'Pollas Fase de Grupos'!Y25,'Pollas Fase de Grupos'!$X$2,IF('Pollas Fase de Grupos'!Y25&gt;'Pollas Fase de Grupos'!X25,'Pollas Fase de Grupos'!$Y$2,"EMPATE"))</f>
        <v>Inglaterra</v>
      </c>
      <c r="W25" s="85">
        <f>PUNTAJE_GANADORES('Pollas Fase de Grupos'!X25,'Resultados Oficiales Fase de Gr'!$D$15,'Pollas Fase de Grupos'!Y25,'Resultados Oficiales Fase de Gr'!$E$15,V25,'Resultados Oficiales Fase de Gr'!$G$15)</f>
        <v>3</v>
      </c>
      <c r="X25" s="85" t="str">
        <f>IF('Pollas Fase de Grupos'!Z25&gt;'Pollas Fase de Grupos'!AA25,'Pollas Fase de Grupos'!$Z$2,IF('Pollas Fase de Grupos'!AA25&gt;'Pollas Fase de Grupos'!Z25,'Pollas Fase de Grupos'!$AA$2,"EMPATE"))</f>
        <v>Estados Unidos</v>
      </c>
      <c r="Y25" s="87">
        <f>PUNTAJE_GANADORES('Pollas Fase de Grupos'!Z25,'Resultados Oficiales Fase de Gr'!$D$16,'Pollas Fase de Grupos'!AA25,'Resultados Oficiales Fase de Gr'!$E$16,X25,'Resultados Oficiales Fase de Gr'!$G$16)</f>
        <v>3</v>
      </c>
      <c r="Z25" s="85" t="str">
        <f>IF('Pollas Fase de Grupos'!AB25&gt;'Pollas Fase de Grupos'!AC25,'Pollas Fase de Grupos'!$AB$2,IF('Pollas Fase de Grupos'!AC25&gt;'Pollas Fase de Grupos'!AB25,'Pollas Fase de Grupos'!$AC$2,"EMPATE"))</f>
        <v>Argentina</v>
      </c>
      <c r="AA25" s="85">
        <f>PUNTAJE_GANADORES('Pollas Fase de Grupos'!AB25,'Resultados Oficiales Fase de Gr'!$D$19,'Pollas Fase de Grupos'!AC25,'Resultados Oficiales Fase de Gr'!$E$19,Z25,'Resultados Oficiales Fase de Gr'!$G$19)</f>
        <v>0</v>
      </c>
      <c r="AB25" s="85" t="str">
        <f>IF('Pollas Fase de Grupos'!AD25&gt;'Pollas Fase de Grupos'!AE25,'Pollas Fase de Grupos'!$AD$2,IF('Pollas Fase de Grupos'!AE25&gt;'Pollas Fase de Grupos'!AD25,'Pollas Fase de Grupos'!$AE$2,"EMPATE"))</f>
        <v>Polonia</v>
      </c>
      <c r="AC25" s="85">
        <f>PUNTAJE_GANADORES('Pollas Fase de Grupos'!AD25,'Resultados Oficiales Fase de Gr'!$D$20,'Pollas Fase de Grupos'!AE25,'Resultados Oficiales Fase de Gr'!$E$20,AB25,'Resultados Oficiales Fase de Gr'!$G$20)</f>
        <v>1</v>
      </c>
      <c r="AD25" s="85" t="str">
        <f>IF('Pollas Fase de Grupos'!AF25&gt;'Pollas Fase de Grupos'!AG25,'Pollas Fase de Grupos'!$AF$2,IF('Pollas Fase de Grupos'!AG25&gt;'Pollas Fase de Grupos'!AF25,'Pollas Fase de Grupos'!$AG$2,"EMPATE"))</f>
        <v>Argentina</v>
      </c>
      <c r="AE25" s="85">
        <f>PUNTAJE_GANADORES('Pollas Fase de Grupos'!AF25,'Resultados Oficiales Fase de Gr'!$D$21,'Pollas Fase de Grupos'!AG25,'Resultados Oficiales Fase de Gr'!$E$21,AD25,'Resultados Oficiales Fase de Gr'!$G$21)</f>
        <v>5</v>
      </c>
      <c r="AF25" s="85" t="str">
        <f>IF('Pollas Fase de Grupos'!AH25&gt;'Pollas Fase de Grupos'!AI25,'Pollas Fase de Grupos'!$AH$2,IF('Pollas Fase de Grupos'!AI25&gt;'Pollas Fase de Grupos'!AH25,'Pollas Fase de Grupos'!$AI$2,"EMPATE"))</f>
        <v>Polonia</v>
      </c>
      <c r="AG25" s="85">
        <f>PUNTAJE_GANADORES('Pollas Fase de Grupos'!AH25,'Resultados Oficiales Fase de Gr'!$D$22,'Pollas Fase de Grupos'!AI25,'Resultados Oficiales Fase de Gr'!$E$22,AF25,'Resultados Oficiales Fase de Gr'!$G$22)</f>
        <v>3</v>
      </c>
      <c r="AH25" s="85" t="str">
        <f>IF('Pollas Fase de Grupos'!AJ25&gt;'Pollas Fase de Grupos'!AK25,'Pollas Fase de Grupos'!$AJ$2,IF('Pollas Fase de Grupos'!AK25&gt;'Pollas Fase de Grupos'!AJ25,'Pollas Fase de Grupos'!$AK$2,"EMPATE"))</f>
        <v>Argentina</v>
      </c>
      <c r="AI25" s="85">
        <f>PUNTAJE_GANADORES('Pollas Fase de Grupos'!AJ25,'Resultados Oficiales Fase de Gr'!$D$23,'Pollas Fase de Grupos'!AK25,'Resultados Oficiales Fase de Gr'!$E$23,AH25,'Resultados Oficiales Fase de Gr'!$G$23)</f>
        <v>3</v>
      </c>
      <c r="AJ25" s="85" t="str">
        <f>IF('Pollas Fase de Grupos'!AL25&gt;'Pollas Fase de Grupos'!AM25,'Pollas Fase de Grupos'!$AL$2,IF('Pollas Fase de Grupos'!AM25&gt;'Pollas Fase de Grupos'!AL25,'Pollas Fase de Grupos'!$AM$2,"EMPATE"))</f>
        <v>Mexico</v>
      </c>
      <c r="AK25" s="85">
        <f>PUNTAJE_GANADORES('Pollas Fase de Grupos'!AL25,'Resultados Oficiales Fase de Gr'!$D$24,'Pollas Fase de Grupos'!AM25,'Resultados Oficiales Fase de Gr'!$E$24,AJ25,'Resultados Oficiales Fase de Gr'!$G$24)</f>
        <v>2</v>
      </c>
      <c r="AL25" s="85" t="str">
        <f>IF('Pollas Fase de Grupos'!AN25&gt;'Pollas Fase de Grupos'!AO25,'Pollas Fase de Grupos'!$AN$2,IF('Pollas Fase de Grupos'!AO25&gt;'Pollas Fase de Grupos'!AN25,'Pollas Fase de Grupos'!$AO$2,"EMPATE"))</f>
        <v>Francia</v>
      </c>
      <c r="AM25" s="85">
        <f>PUNTAJE_GANADORES('Pollas Fase de Grupos'!AN25,'Resultados Oficiales Fase de Gr'!$D$27,'Pollas Fase de Grupos'!AO25,'Resultados Oficiales Fase de Gr'!$E$27,AL25,'Resultados Oficiales Fase de Gr'!$G$27)</f>
        <v>2</v>
      </c>
      <c r="AN25" s="85" t="str">
        <f>IF('Pollas Fase de Grupos'!AP25&gt;'Pollas Fase de Grupos'!AQ25,'Pollas Fase de Grupos'!$AP$2,IF('Pollas Fase de Grupos'!AQ25&gt;'Pollas Fase de Grupos'!AP25,'Pollas Fase de Grupos'!$AQ$2,"EMPATE"))</f>
        <v>Dinamarca</v>
      </c>
      <c r="AO25" s="85">
        <f>PUNTAJE_GANADORES('Pollas Fase de Grupos'!AP25,'Resultados Oficiales Fase de Gr'!$D$28,'Pollas Fase de Grupos'!AQ25,'Resultados Oficiales Fase de Gr'!$E$28,AN25,'Resultados Oficiales Fase de Gr'!$G$28)</f>
        <v>1</v>
      </c>
      <c r="AP25" s="85" t="str">
        <f>IF('Pollas Fase de Grupos'!AR25&gt;'Pollas Fase de Grupos'!AS25,'Pollas Fase de Grupos'!$AR$2,IF('Pollas Fase de Grupos'!AS25&gt;'Pollas Fase de Grupos'!AR25,'Pollas Fase de Grupos'!$AS$2,"EMPATE"))</f>
        <v>Francia</v>
      </c>
      <c r="AQ25" s="85">
        <f>PUNTAJE_GANADORES('Pollas Fase de Grupos'!AR25,'Resultados Oficiales Fase de Gr'!$D$29,'Pollas Fase de Grupos'!AS25,'Resultados Oficiales Fase de Gr'!$E$29,AP25,'Resultados Oficiales Fase de Gr'!$G$29)</f>
        <v>2</v>
      </c>
      <c r="AR25" s="85" t="str">
        <f>IF('Pollas Fase de Grupos'!AT25&gt;'Pollas Fase de Grupos'!AU25,'Pollas Fase de Grupos'!$AT$2,IF('Pollas Fase de Grupos'!AU25&gt;'Pollas Fase de Grupos'!AT25,'Pollas Fase de Grupos'!$AU$2,"EMPATE"))</f>
        <v>Australia</v>
      </c>
      <c r="AS25" s="85">
        <f>PUNTAJE_GANADORES('Pollas Fase de Grupos'!AT25,'Resultados Oficiales Fase de Gr'!$D$30,'Pollas Fase de Grupos'!AU25,'Resultados Oficiales Fase de Gr'!$E$30,AR25,'Resultados Oficiales Fase de Gr'!$G$30)</f>
        <v>5</v>
      </c>
      <c r="AT25" s="85" t="str">
        <f>IF('Pollas Fase de Grupos'!AV25&gt;'Pollas Fase de Grupos'!AW25,'Pollas Fase de Grupos'!$AV$2,IF('Pollas Fase de Grupos'!AW25&gt;'Pollas Fase de Grupos'!AV25,'Pollas Fase de Grupos'!$AW$2,"EMPATE"))</f>
        <v>Francia</v>
      </c>
      <c r="AU25" s="85">
        <f>PUNTAJE_GANADORES('Pollas Fase de Grupos'!AV25,'Resultados Oficiales Fase de Gr'!$D$31,'Pollas Fase de Grupos'!AW25,'Resultados Oficiales Fase de Gr'!$E$31,AT25,'Resultados Oficiales Fase de Gr'!$G$31)</f>
        <v>0</v>
      </c>
      <c r="AV25" s="85" t="str">
        <f>IF('Pollas Fase de Grupos'!AX25&gt;'Pollas Fase de Grupos'!AY25,'Pollas Fase de Grupos'!$AX$2,IF('Pollas Fase de Grupos'!AY25&gt;'Pollas Fase de Grupos'!AX25,'Pollas Fase de Grupos'!$AY$2,"EMPATE"))</f>
        <v>Dinamarca</v>
      </c>
      <c r="AW25" s="85">
        <f>PUNTAJE_GANADORES('Pollas Fase de Grupos'!AX25,'Resultados Oficiales Fase de Gr'!$D$32,'Pollas Fase de Grupos'!AY25,'Resultados Oficiales Fase de Gr'!$E$32,AV25,'Resultados Oficiales Fase de Gr'!$G$32)</f>
        <v>0</v>
      </c>
      <c r="AX25" s="85" t="str">
        <f>IF('Pollas Fase de Grupos'!AZ25&gt;'Pollas Fase de Grupos'!BA25,'Pollas Fase de Grupos'!$AZ$2,IF('Pollas Fase de Grupos'!BA25&gt;'Pollas Fase de Grupos'!AZ25,'Pollas Fase de Grupos'!$BA$2,"EMPATE"))</f>
        <v>España</v>
      </c>
      <c r="AY25" s="85">
        <f>PUNTAJE_GANADORES('Pollas Fase de Grupos'!AZ25,'Resultados Oficiales Fase de Gr'!$D$35,'Pollas Fase de Grupos'!BA25,'Resultados Oficiales Fase de Gr'!$E$35,AX25,'Resultados Oficiales Fase de Gr'!$G$35)</f>
        <v>1</v>
      </c>
      <c r="AZ25" s="85" t="str">
        <f>IF('Pollas Fase de Grupos'!BB25&gt;'Pollas Fase de Grupos'!BC25,'Pollas Fase de Grupos'!$BB$2,IF('Pollas Fase de Grupos'!BC25&gt;'Pollas Fase de Grupos'!BB25,'Pollas Fase de Grupos'!$BC$2,"EMPATE"))</f>
        <v>Alemania</v>
      </c>
      <c r="BA25" s="85">
        <f>PUNTAJE_GANADORES('Pollas Fase de Grupos'!BB25,'Resultados Oficiales Fase de Gr'!$D$36,'Pollas Fase de Grupos'!BC25,'Resultados Oficiales Fase de Gr'!$E$36,AZ25,'Resultados Oficiales Fase de Gr'!$G$36)</f>
        <v>0</v>
      </c>
      <c r="BB25" s="85" t="str">
        <f>IF('Pollas Fase de Grupos'!BD25&gt;'Pollas Fase de Grupos'!BE25,'Pollas Fase de Grupos'!$BD$2,IF('Pollas Fase de Grupos'!BE25&gt;'Pollas Fase de Grupos'!BD25,'Pollas Fase de Grupos'!$BE$2,"EMPATE"))</f>
        <v>Alemania</v>
      </c>
      <c r="BC25" s="85">
        <f>PUNTAJE_GANADORES('Pollas Fase de Grupos'!BD25,'Resultados Oficiales Fase de Gr'!$D$37,'Pollas Fase de Grupos'!BE25,'Resultados Oficiales Fase de Gr'!$E$37,BB25,'Resultados Oficiales Fase de Gr'!$G$37)</f>
        <v>1</v>
      </c>
      <c r="BD25" s="85" t="str">
        <f>IF('Pollas Fase de Grupos'!BF25&gt;'Pollas Fase de Grupos'!BG25,'Pollas Fase de Grupos'!$BF$2,IF('Pollas Fase de Grupos'!BG25&gt;'Pollas Fase de Grupos'!BF25,'Pollas Fase de Grupos'!$BG$2,"EMPATE"))</f>
        <v>Costa Rica</v>
      </c>
      <c r="BE25" s="85">
        <f>PUNTAJE_GANADORES('Pollas Fase de Grupos'!BF25,'Resultados Oficiales Fase de Gr'!$D$38,'Pollas Fase de Grupos'!BG25,'Resultados Oficiales Fase de Gr'!$E$38,BD25,'Resultados Oficiales Fase de Gr'!$G$38)</f>
        <v>5</v>
      </c>
      <c r="BF25" s="85" t="str">
        <f>IF('Pollas Fase de Grupos'!BH25&gt;'Pollas Fase de Grupos'!BI25,'Pollas Fase de Grupos'!$BH$2,IF('Pollas Fase de Grupos'!BI25&gt;'Pollas Fase de Grupos'!BH25,'Pollas Fase de Grupos'!$BI$2,"EMPATE"))</f>
        <v>España</v>
      </c>
      <c r="BG25" s="85">
        <f>PUNTAJE_GANADORES('Pollas Fase de Grupos'!BH25,'Resultados Oficiales Fase de Gr'!$D$39,'Pollas Fase de Grupos'!BI25,'Resultados Oficiales Fase de Gr'!$E$39,BF25,'Resultados Oficiales Fase de Gr'!$G$39)</f>
        <v>0</v>
      </c>
      <c r="BH25" s="85" t="str">
        <f>IF('Pollas Fase de Grupos'!BJ25&gt;'Pollas Fase de Grupos'!BK25,'Pollas Fase de Grupos'!$BJ$2,IF('Pollas Fase de Grupos'!BK25&gt;'Pollas Fase de Grupos'!BJ25,'Pollas Fase de Grupos'!$BK$2,"EMPATE"))</f>
        <v>Alemania</v>
      </c>
      <c r="BI25" s="85">
        <f>PUNTAJE_GANADORES('Pollas Fase de Grupos'!BJ25,'Resultados Oficiales Fase de Gr'!$D$40,'Pollas Fase de Grupos'!BK25,'Resultados Oficiales Fase de Gr'!$E$40,BH25,'Resultados Oficiales Fase de Gr'!$G$40)</f>
        <v>2</v>
      </c>
      <c r="BJ25" s="85" t="str">
        <f>IF('Pollas Fase de Grupos'!BL25&gt;'Pollas Fase de Grupos'!BM25,'Pollas Fase de Grupos'!$BL$2,IF('Pollas Fase de Grupos'!BM25&gt;'Pollas Fase de Grupos'!BL25,'Pollas Fase de Grupos'!$BM$2,"EMPATE"))</f>
        <v>Belgica</v>
      </c>
      <c r="BK25" s="85">
        <f>PUNTAJE_GANADORES('Pollas Fase de Grupos'!BL25,'Resultados Oficiales Fase de Gr'!$D$43,'Pollas Fase de Grupos'!BM25,'Resultados Oficiales Fase de Gr'!$E$43,BJ25,'Resultados Oficiales Fase de Gr'!$G$43)</f>
        <v>3</v>
      </c>
      <c r="BL25" s="85" t="str">
        <f>IF('Pollas Fase de Grupos'!BN25&gt;'Pollas Fase de Grupos'!BO25,'Pollas Fase de Grupos'!$BN$2,IF('Pollas Fase de Grupos'!BO25&gt;'Pollas Fase de Grupos'!BN25,'Pollas Fase de Grupos'!$BO$2,"EMPATE"))</f>
        <v>Croacia</v>
      </c>
      <c r="BM25" s="85">
        <f>PUNTAJE_GANADORES('Pollas Fase de Grupos'!BN25,'Resultados Oficiales Fase de Gr'!$D$44,'Pollas Fase de Grupos'!BO25,'Resultados Oficiales Fase de Gr'!$E$44,BL25,'Resultados Oficiales Fase de Gr'!$G$44)</f>
        <v>1</v>
      </c>
      <c r="BN25" s="85" t="str">
        <f>IF('Pollas Fase de Grupos'!BP25&gt;'Pollas Fase de Grupos'!BQ25,'Pollas Fase de Grupos'!$BP$2,IF('Pollas Fase de Grupos'!BQ25&gt;'Pollas Fase de Grupos'!BP25,'Pollas Fase de Grupos'!$BQ$2,"EMPATE"))</f>
        <v>Belgica</v>
      </c>
      <c r="BO25" s="85">
        <f>PUNTAJE_GANADORES('Pollas Fase de Grupos'!BP25,'Resultados Oficiales Fase de Gr'!$D$45,'Pollas Fase de Grupos'!BQ25,'Resultados Oficiales Fase de Gr'!$E$45,BN25,'Resultados Oficiales Fase de Gr'!$G$45)</f>
        <v>0</v>
      </c>
      <c r="BP25" s="85" t="str">
        <f>IF('Pollas Fase de Grupos'!BR25&gt;'Pollas Fase de Grupos'!BS25,'Pollas Fase de Grupos'!$BR$2,IF('Pollas Fase de Grupos'!BS25&gt;'Pollas Fase de Grupos'!BR25,'Pollas Fase de Grupos'!$BS$2,"EMPATE"))</f>
        <v>Croacia</v>
      </c>
      <c r="BQ25" s="85">
        <f>PUNTAJE_GANADORES('Pollas Fase de Grupos'!BR25,'Resultados Oficiales Fase de Gr'!$D$46,'Pollas Fase de Grupos'!BS25,'Resultados Oficiales Fase de Gr'!$E$46,BP25,'Resultados Oficiales Fase de Gr'!$G$46)</f>
        <v>2</v>
      </c>
      <c r="BR25" s="85" t="str">
        <f>IF('Pollas Fase de Grupos'!BT25&gt;'Pollas Fase de Grupos'!BU25,'Pollas Fase de Grupos'!$BT$2,IF('Pollas Fase de Grupos'!BU25&gt;'Pollas Fase de Grupos'!BT25,'Pollas Fase de Grupos'!$BU$2,"EMPATE"))</f>
        <v>EMPATE</v>
      </c>
      <c r="BS25" s="85">
        <f>PUNTAJE_GANADORES('Pollas Fase de Grupos'!BT25,'Resultados Oficiales Fase de Gr'!$D$47,'Pollas Fase de Grupos'!BU25,'Resultados Oficiales Fase de Gr'!$E$47,BR25,'Resultados Oficiales Fase de Gr'!$G$47)</f>
        <v>5</v>
      </c>
      <c r="BT25" s="85" t="str">
        <f>IF('Pollas Fase de Grupos'!BV25&gt;'Pollas Fase de Grupos'!BW25,'Pollas Fase de Grupos'!$BV$2,IF('Pollas Fase de Grupos'!BW25&gt;'Pollas Fase de Grupos'!BV25,'Pollas Fase de Grupos'!$BW$2,"EMPATE"))</f>
        <v>EMPATE</v>
      </c>
      <c r="BU25" s="85">
        <f>PUNTAJE_GANADORES('Pollas Fase de Grupos'!BV25,'Resultados Oficiales Fase de Gr'!$D$48,'Pollas Fase de Grupos'!BW25,'Resultados Oficiales Fase de Gr'!$E$48,BT25,'Resultados Oficiales Fase de Gr'!$G$48)</f>
        <v>1</v>
      </c>
      <c r="BV25" s="85" t="str">
        <f>IF('Pollas Fase de Grupos'!BX25&gt;'Pollas Fase de Grupos'!BY25,'Pollas Fase de Grupos'!$BX$2,IF('Pollas Fase de Grupos'!BY25&gt;'Pollas Fase de Grupos'!BX25,'Pollas Fase de Grupos'!$BY$2,"EMPATE"))</f>
        <v>Brasil</v>
      </c>
      <c r="BW25" s="85">
        <f>PUNTAJE_GANADORES('Pollas Fase de Grupos'!BX25,'Resultados Oficiales Fase de Gr'!$D$51,'Pollas Fase de Grupos'!BY25,'Resultados Oficiales Fase de Gr'!$E$51,BV25,'Resultados Oficiales Fase de Gr'!$G$51)</f>
        <v>5</v>
      </c>
      <c r="BX25" s="85" t="str">
        <f>IF('Pollas Fase de Grupos'!BZ25&gt;'Pollas Fase de Grupos'!CA25,'Pollas Fase de Grupos'!$BZ$2,IF('Pollas Fase de Grupos'!CA25&gt;'Pollas Fase de Grupos'!BZ25,'Pollas Fase de Grupos'!$CA$2,"EMPATE"))</f>
        <v>Suiza</v>
      </c>
      <c r="BY25" s="85">
        <f>PUNTAJE_GANADORES('Pollas Fase de Grupos'!BZ25,'Resultados Oficiales Fase de Gr'!$D$52,'Pollas Fase de Grupos'!CA25,'Resultados Oficiales Fase de Gr'!$E$52,BX25,'Resultados Oficiales Fase de Gr'!$G$52)</f>
        <v>3</v>
      </c>
      <c r="BZ25" s="85" t="str">
        <f>IF('Pollas Fase de Grupos'!CB25&gt;'Pollas Fase de Grupos'!CC25,'Pollas Fase de Grupos'!$CB$2,IF('Pollas Fase de Grupos'!CC25&gt;'Pollas Fase de Grupos'!CB25,'Pollas Fase de Grupos'!$CC$2,"EMPATE"))</f>
        <v>Brasil</v>
      </c>
      <c r="CA25" s="85">
        <f>PUNTAJE_GANADORES('Pollas Fase de Grupos'!CB25,'Resultados Oficiales Fase de Gr'!$D$53,'Pollas Fase de Grupos'!CC25,'Resultados Oficiales Fase de Gr'!$E$53,BZ25,'Resultados Oficiales Fase de Gr'!$G$53)</f>
        <v>5</v>
      </c>
      <c r="CB25" s="85" t="str">
        <f>IF('Pollas Fase de Grupos'!CD25&gt;'Pollas Fase de Grupos'!CE25,'Pollas Fase de Grupos'!$CD$2,IF('Pollas Fase de Grupos'!CE25&gt;'Pollas Fase de Grupos'!CD25,'Pollas Fase de Grupos'!$CE$2,"EMPATE"))</f>
        <v>Serbia</v>
      </c>
      <c r="CC25" s="85">
        <f>PUNTAJE_GANADORES('Pollas Fase de Grupos'!CD25,'Resultados Oficiales Fase de Gr'!$D$54,'Pollas Fase de Grupos'!CE25,'Resultados Oficiales Fase de Gr'!$E$54,CB25,'Resultados Oficiales Fase de Gr'!$G$54)</f>
        <v>0</v>
      </c>
      <c r="CD25" s="85" t="str">
        <f>IF('Pollas Fase de Grupos'!CF25&gt;'Pollas Fase de Grupos'!CG25,'Pollas Fase de Grupos'!$CF$2,IF('Pollas Fase de Grupos'!CG25&gt;'Pollas Fase de Grupos'!CF25,'Pollas Fase de Grupos'!$CG$2,"EMPATE"))</f>
        <v>Brasil</v>
      </c>
      <c r="CE25" s="85">
        <f>PUNTAJE_GANADORES('Pollas Fase de Grupos'!CF25,'Resultados Oficiales Fase de Gr'!$D$55,'Pollas Fase de Grupos'!CG25,'Resultados Oficiales Fase de Gr'!$E$55,CD25,'Resultados Oficiales Fase de Gr'!$G$55)</f>
        <v>0</v>
      </c>
      <c r="CF25" s="85" t="str">
        <f>IF('Pollas Fase de Grupos'!CH25&gt;'Pollas Fase de Grupos'!CI25,'Pollas Fase de Grupos'!$CH$2,IF('Pollas Fase de Grupos'!CI25&gt;'Pollas Fase de Grupos'!CH25,'Pollas Fase de Grupos'!$CI$2,"EMPATE"))</f>
        <v>Suiza</v>
      </c>
      <c r="CG25" s="85">
        <f>PUNTAJE_GANADORES('Pollas Fase de Grupos'!CH25,'Resultados Oficiales Fase de Gr'!$D$56,'Pollas Fase de Grupos'!CI25,'Resultados Oficiales Fase de Gr'!$E$56,CF25,'Resultados Oficiales Fase de Gr'!$G$56)</f>
        <v>2</v>
      </c>
      <c r="CH25" s="85" t="str">
        <f>IF('Pollas Fase de Grupos'!CJ25&gt;'Pollas Fase de Grupos'!CK25,'Pollas Fase de Grupos'!$CJ$2,IF('Pollas Fase de Grupos'!CK25&gt;'Pollas Fase de Grupos'!CJ25,'Pollas Fase de Grupos'!$CK$2,"EMPATE"))</f>
        <v>Portugal</v>
      </c>
      <c r="CI25" s="85">
        <f>PUNTAJE_GANADORES('Pollas Fase de Grupos'!CJ25,'Resultados Oficiales Fase de Gr'!$D$59,'Pollas Fase de Grupos'!CK25,'Resultados Oficiales Fase de Gr'!$E$59,CH25,'Resultados Oficiales Fase de Gr'!$G$59)</f>
        <v>2</v>
      </c>
      <c r="CJ25" s="85" t="str">
        <f>IF('Pollas Fase de Grupos'!CL25&gt;'Pollas Fase de Grupos'!CM25,'Pollas Fase de Grupos'!$CL$2,IF('Pollas Fase de Grupos'!CM25&gt;'Pollas Fase de Grupos'!CL25,'Pollas Fase de Grupos'!$CM$2,"EMPATE"))</f>
        <v>Uruguay</v>
      </c>
      <c r="CK25" s="85">
        <f>PUNTAJE_GANADORES('Pollas Fase de Grupos'!CL25,'Resultados Oficiales Fase de Gr'!$D$60,'Pollas Fase de Grupos'!CM25,'Resultados Oficiales Fase de Gr'!$E$60,CJ25,'Resultados Oficiales Fase de Gr'!$G$60)</f>
        <v>1</v>
      </c>
      <c r="CL25" s="85" t="str">
        <f>IF('Pollas Fase de Grupos'!CN25&gt;'Pollas Fase de Grupos'!CO25,'Pollas Fase de Grupos'!$CN$2,IF('Pollas Fase de Grupos'!CO25&gt;'Pollas Fase de Grupos'!CN25,'Pollas Fase de Grupos'!$CO$2,"EMPATE"))</f>
        <v>Portugal</v>
      </c>
      <c r="CM25" s="85">
        <f>PUNTAJE_GANADORES('Pollas Fase de Grupos'!CN25,'Resultados Oficiales Fase de Gr'!$D$61,'Pollas Fase de Grupos'!CO25,'Resultados Oficiales Fase de Gr'!$E$61,CL25,'Resultados Oficiales Fase de Gr'!$G$61)</f>
        <v>3</v>
      </c>
      <c r="CN25" s="85" t="str">
        <f>IF('Pollas Fase de Grupos'!CP25&gt;'Pollas Fase de Grupos'!CQ25,'Pollas Fase de Grupos'!$CP$2,IF('Pollas Fase de Grupos'!CQ25&gt;'Pollas Fase de Grupos'!CP25,'Pollas Fase de Grupos'!$CQ$2,"EMPATE"))</f>
        <v>Ghana</v>
      </c>
      <c r="CO25" s="85">
        <f>PUNTAJE_GANADORES('Pollas Fase de Grupos'!CP25,'Resultados Oficiales Fase de Gr'!$D$62,'Pollas Fase de Grupos'!CQ25,'Resultados Oficiales Fase de Gr'!$E$62,CN25,'Resultados Oficiales Fase de Gr'!$G$62)</f>
        <v>2</v>
      </c>
      <c r="CP25" s="85" t="str">
        <f>IF('Pollas Fase de Grupos'!CR25&gt;'Pollas Fase de Grupos'!CS25,'Pollas Fase de Grupos'!$CR$2,IF('Pollas Fase de Grupos'!CS25&gt;'Pollas Fase de Grupos'!CR25,'Pollas Fase de Grupos'!$CS$2,"EMPATE"))</f>
        <v>Portugal</v>
      </c>
      <c r="CQ25" s="85">
        <f>PUNTAJE_GANADORES('Pollas Fase de Grupos'!CR25,'Resultados Oficiales Fase de Gr'!$D$63,'Pollas Fase de Grupos'!CS25,'Resultados Oficiales Fase de Gr'!$E$63,CP25,'Resultados Oficiales Fase de Gr'!$G$63)</f>
        <v>1</v>
      </c>
      <c r="CR25" s="85" t="str">
        <f>IF('Pollas Fase de Grupos'!CT25&gt;'Pollas Fase de Grupos'!CU25,'Pollas Fase de Grupos'!$CT$2,IF('Pollas Fase de Grupos'!CU25&gt;'Pollas Fase de Grupos'!CT25,'Pollas Fase de Grupos'!$CU$2,"EMPATE"))</f>
        <v>Uruguay</v>
      </c>
      <c r="CS25" s="85">
        <f>PUNTAJE_GANADORES('Pollas Fase de Grupos'!CT25,'Resultados Oficiales Fase de Gr'!$D$64,'Pollas Fase de Grupos'!CU25,'Resultados Oficiales Fase de Gr'!$E$64,CR25,'Resultados Oficiales Fase de Gr'!$G$64)</f>
        <v>3</v>
      </c>
      <c r="CT25" s="4">
        <f t="shared" si="1"/>
        <v>92</v>
      </c>
      <c r="CU25" s="17">
        <v>66.0</v>
      </c>
      <c r="CV25" s="3">
        <f t="shared" si="2"/>
        <v>95</v>
      </c>
    </row>
    <row r="26">
      <c r="A26" s="3" t="str">
        <f>'Pollas Fase de Grupos'!CV26</f>
        <v>Cristina Valentina Echeverri- Las fieras</v>
      </c>
      <c r="B26" s="4" t="str">
        <f>IF('Pollas Fase de Grupos'!D26&gt;'Pollas Fase de Grupos'!E26,'Pollas Fase de Grupos'!$D$2,IF('Pollas Fase de Grupos'!E26&gt;'Pollas Fase de Grupos'!D26,'Pollas Fase de Grupos'!$E$2,"EMPATE"))</f>
        <v>Qatar</v>
      </c>
      <c r="C26" s="4">
        <f>PUNTAJE_GANADORES('Pollas Fase de Grupos'!D26,'Resultados Oficiales Fase de Gr'!$D$3,'Pollas Fase de Grupos'!E26,'Resultados Oficiales Fase de Gr'!$E$3,B26,'Resultados Oficiales Fase de Gr'!$G$3)</f>
        <v>0</v>
      </c>
      <c r="D26" s="85" t="str">
        <f>IF('Pollas Fase de Grupos'!F26&gt;'Pollas Fase de Grupos'!G26,'Pollas Fase de Grupos'!$F$2,IF('Pollas Fase de Grupos'!G26&gt;'Pollas Fase de Grupos'!F26,'Pollas Fase de Grupos'!$G$2,"EMPATE"))</f>
        <v>Paises Bajos</v>
      </c>
      <c r="E26" s="4">
        <f>PUNTAJE_GANADORES('Pollas Fase de Grupos'!F26,'Resultados Oficiales Fase de Gr'!$D$4,'Pollas Fase de Grupos'!G26,'Resultados Oficiales Fase de Gr'!$E$4,D26,'Resultados Oficiales Fase de Gr'!$G$4)</f>
        <v>3</v>
      </c>
      <c r="F26" s="85" t="str">
        <f>IF('Pollas Fase de Grupos'!H26&gt;'Pollas Fase de Grupos'!I26,'Pollas Fase de Grupos'!$H$2,IF('Pollas Fase de Grupos'!I26&gt;'Pollas Fase de Grupos'!H26,'Pollas Fase de Grupos'!$I$2,"EMPATE"))</f>
        <v>EMPATE</v>
      </c>
      <c r="G26" s="4">
        <f>PUNTAJE_GANADORES('Pollas Fase de Grupos'!H26,'Resultados Oficiales Fase de Gr'!$D$5,'Pollas Fase de Grupos'!I26,'Resultados Oficiales Fase de Gr'!$E$5,F26,'Resultados Oficiales Fase de Gr'!$G$5)</f>
        <v>1</v>
      </c>
      <c r="H26" s="85" t="str">
        <f>IF('Pollas Fase de Grupos'!J26&gt;'Pollas Fase de Grupos'!K26,'Pollas Fase de Grupos'!$J$2,IF('Pollas Fase de Grupos'!K26&gt;'Pollas Fase de Grupos'!J26,'Pollas Fase de Grupos'!$K$2,"EMPATE"))</f>
        <v>Paises Bajos</v>
      </c>
      <c r="I26" s="4">
        <f>PUNTAJE_GANADORES('Pollas Fase de Grupos'!J26,'Resultados Oficiales Fase de Gr'!$D$6,'Pollas Fase de Grupos'!K26,'Resultados Oficiales Fase de Gr'!$E$6,H26,'Resultados Oficiales Fase de Gr'!$G$6)</f>
        <v>1</v>
      </c>
      <c r="J26" s="85" t="str">
        <f>IF('Pollas Fase de Grupos'!L26&gt;'Pollas Fase de Grupos'!M26,'Pollas Fase de Grupos'!$L$2,IF('Pollas Fase de Grupos'!M26&gt;'Pollas Fase de Grupos'!L26,'Pollas Fase de Grupos'!$M$2,"EMPATE"))</f>
        <v>Paises Bajos</v>
      </c>
      <c r="K26" s="4">
        <f>PUNTAJE_GANADORES('Pollas Fase de Grupos'!L26,'Resultados Oficiales Fase de Gr'!$D$7,'Pollas Fase de Grupos'!M26,'Resultados Oficiales Fase de Gr'!$E$7,J26,'Resultados Oficiales Fase de Gr'!$G$7)</f>
        <v>2</v>
      </c>
      <c r="L26" s="85" t="str">
        <f>IF('Pollas Fase de Grupos'!N26&gt;'Pollas Fase de Grupos'!O26,'Pollas Fase de Grupos'!$N$2,IF('Pollas Fase de Grupos'!O26&gt;'Pollas Fase de Grupos'!N26,'Pollas Fase de Grupos'!$O$2,"EMPATE"))</f>
        <v>Ecuador</v>
      </c>
      <c r="M26" s="85">
        <f>PUNTAJE_GANADORES('Pollas Fase de Grupos'!N26,'Resultados Oficiales Fase de Gr'!$D$8,'Pollas Fase de Grupos'!O26,'Resultados Oficiales Fase de Gr'!$E$8,L26,'Resultados Oficiales Fase de Gr'!$G$8)</f>
        <v>0</v>
      </c>
      <c r="N26" s="85" t="str">
        <f>IF('Pollas Fase de Grupos'!P26&gt;'Pollas Fase de Grupos'!Q26,'Pollas Fase de Grupos'!$P$2,IF('Pollas Fase de Grupos'!Q26&gt;'Pollas Fase de Grupos'!P26,'Pollas Fase de Grupos'!$Q$2,"EMPATE"))</f>
        <v>Inglaterra</v>
      </c>
      <c r="O26" s="85">
        <f>PUNTAJE_GANADORES('Pollas Fase de Grupos'!P26,'Resultados Oficiales Fase de Gr'!$D$11,'Pollas Fase de Grupos'!Q26,'Resultados Oficiales Fase de Gr'!$E$11,N26,'Resultados Oficiales Fase de Gr'!$G$11)</f>
        <v>2</v>
      </c>
      <c r="P26" s="4" t="str">
        <f>IF('Pollas Fase de Grupos'!R26&gt;'Pollas Fase de Grupos'!S26,'Pollas Fase de Grupos'!$R$2,IF('Pollas Fase de Grupos'!S26&gt;'Pollas Fase de Grupos'!R26,'Pollas Fase de Grupos'!$S$2,"EMPATE"))</f>
        <v>Estados Unidos</v>
      </c>
      <c r="Q26" s="85">
        <f>PUNTAJE_GANADORES('Pollas Fase de Grupos'!R26,'Resultados Oficiales Fase de Gr'!$D$12,'Pollas Fase de Grupos'!S26,'Resultados Oficiales Fase de Gr'!$E$12,P26,'Resultados Oficiales Fase de Gr'!$G$12)</f>
        <v>0</v>
      </c>
      <c r="R26" s="85" t="str">
        <f>IF('Pollas Fase de Grupos'!T26&gt;'Pollas Fase de Grupos'!U26,'Pollas Fase de Grupos'!$T$2,IF('Pollas Fase de Grupos'!U26&gt;'Pollas Fase de Grupos'!T26,'Pollas Fase de Grupos'!$U$2,"EMPATE"))</f>
        <v>EMPATE</v>
      </c>
      <c r="S26" s="4">
        <f>PUNTAJE_GANADORES('Pollas Fase de Grupos'!T26,'Resultados Oficiales Fase de Gr'!$D$13,'Pollas Fase de Grupos'!U26,'Resultados Oficiales Fase de Gr'!$E$13,R26,'Resultados Oficiales Fase de Gr'!$G$13)</f>
        <v>1</v>
      </c>
      <c r="T26" s="85" t="str">
        <f>IF('Pollas Fase de Grupos'!V26&gt;'Pollas Fase de Grupos'!W26,'Pollas Fase de Grupos'!$V$2,IF('Pollas Fase de Grupos'!W26&gt;'Pollas Fase de Grupos'!V26,'Pollas Fase de Grupos'!$W$2,"EMPATE"))</f>
        <v>EMPATE</v>
      </c>
      <c r="U26" s="86">
        <f>PUNTAJE_GANADORES('Pollas Fase de Grupos'!V26,'Resultados Oficiales Fase de Gr'!$D$14,'Pollas Fase de Grupos'!W26,'Resultados Oficiales Fase de Gr'!$E$14,T26,'Resultados Oficiales Fase de Gr'!$G$14)</f>
        <v>1</v>
      </c>
      <c r="V26" s="85" t="str">
        <f>IF('Pollas Fase de Grupos'!X26&gt;'Pollas Fase de Grupos'!Y26,'Pollas Fase de Grupos'!$X$2,IF('Pollas Fase de Grupos'!Y26&gt;'Pollas Fase de Grupos'!X26,'Pollas Fase de Grupos'!$Y$2,"EMPATE"))</f>
        <v>Inglaterra</v>
      </c>
      <c r="W26" s="85">
        <f>PUNTAJE_GANADORES('Pollas Fase de Grupos'!X26,'Resultados Oficiales Fase de Gr'!$D$15,'Pollas Fase de Grupos'!Y26,'Resultados Oficiales Fase de Gr'!$E$15,V26,'Resultados Oficiales Fase de Gr'!$G$15)</f>
        <v>3</v>
      </c>
      <c r="X26" s="85" t="str">
        <f>IF('Pollas Fase de Grupos'!Z26&gt;'Pollas Fase de Grupos'!AA26,'Pollas Fase de Grupos'!$Z$2,IF('Pollas Fase de Grupos'!AA26&gt;'Pollas Fase de Grupos'!Z26,'Pollas Fase de Grupos'!$AA$2,"EMPATE"))</f>
        <v>Estados Unidos</v>
      </c>
      <c r="Y26" s="87">
        <f>PUNTAJE_GANADORES('Pollas Fase de Grupos'!Z26,'Resultados Oficiales Fase de Gr'!$D$16,'Pollas Fase de Grupos'!AA26,'Resultados Oficiales Fase de Gr'!$E$16,X26,'Resultados Oficiales Fase de Gr'!$G$16)</f>
        <v>2</v>
      </c>
      <c r="Z26" s="85" t="str">
        <f>IF('Pollas Fase de Grupos'!AB26&gt;'Pollas Fase de Grupos'!AC26,'Pollas Fase de Grupos'!$AB$2,IF('Pollas Fase de Grupos'!AC26&gt;'Pollas Fase de Grupos'!AB26,'Pollas Fase de Grupos'!$AC$2,"EMPATE"))</f>
        <v>Argentina</v>
      </c>
      <c r="AA26" s="85">
        <f>PUNTAJE_GANADORES('Pollas Fase de Grupos'!AB26,'Resultados Oficiales Fase de Gr'!$D$19,'Pollas Fase de Grupos'!AC26,'Resultados Oficiales Fase de Gr'!$E$19,Z26,'Resultados Oficiales Fase de Gr'!$G$19)</f>
        <v>0</v>
      </c>
      <c r="AB26" s="85" t="str">
        <f>IF('Pollas Fase de Grupos'!AD26&gt;'Pollas Fase de Grupos'!AE26,'Pollas Fase de Grupos'!$AD$2,IF('Pollas Fase de Grupos'!AE26&gt;'Pollas Fase de Grupos'!AD26,'Pollas Fase de Grupos'!$AE$2,"EMPATE"))</f>
        <v>Mexico</v>
      </c>
      <c r="AC26" s="85">
        <f>PUNTAJE_GANADORES('Pollas Fase de Grupos'!AD26,'Resultados Oficiales Fase de Gr'!$D$20,'Pollas Fase de Grupos'!AE26,'Resultados Oficiales Fase de Gr'!$E$20,AB26,'Resultados Oficiales Fase de Gr'!$G$20)</f>
        <v>0</v>
      </c>
      <c r="AD26" s="85" t="str">
        <f>IF('Pollas Fase de Grupos'!AF26&gt;'Pollas Fase de Grupos'!AG26,'Pollas Fase de Grupos'!$AF$2,IF('Pollas Fase de Grupos'!AG26&gt;'Pollas Fase de Grupos'!AF26,'Pollas Fase de Grupos'!$AG$2,"EMPATE"))</f>
        <v>Argentina</v>
      </c>
      <c r="AE26" s="85">
        <f>PUNTAJE_GANADORES('Pollas Fase de Grupos'!AF26,'Resultados Oficiales Fase de Gr'!$D$21,'Pollas Fase de Grupos'!AG26,'Resultados Oficiales Fase de Gr'!$E$21,AD26,'Resultados Oficiales Fase de Gr'!$G$21)</f>
        <v>2</v>
      </c>
      <c r="AF26" s="85" t="str">
        <f>IF('Pollas Fase de Grupos'!AH26&gt;'Pollas Fase de Grupos'!AI26,'Pollas Fase de Grupos'!$AH$2,IF('Pollas Fase de Grupos'!AI26&gt;'Pollas Fase de Grupos'!AH26,'Pollas Fase de Grupos'!$AI$2,"EMPATE"))</f>
        <v>Polonia</v>
      </c>
      <c r="AG26" s="85">
        <f>PUNTAJE_GANADORES('Pollas Fase de Grupos'!AH26,'Resultados Oficiales Fase de Gr'!$D$22,'Pollas Fase de Grupos'!AI26,'Resultados Oficiales Fase de Gr'!$E$22,AF26,'Resultados Oficiales Fase de Gr'!$G$22)</f>
        <v>3</v>
      </c>
      <c r="AH26" s="85" t="str">
        <f>IF('Pollas Fase de Grupos'!AJ26&gt;'Pollas Fase de Grupos'!AK26,'Pollas Fase de Grupos'!$AJ$2,IF('Pollas Fase de Grupos'!AK26&gt;'Pollas Fase de Grupos'!AJ26,'Pollas Fase de Grupos'!$AK$2,"EMPATE"))</f>
        <v>Argentina</v>
      </c>
      <c r="AI26" s="85">
        <f>PUNTAJE_GANADORES('Pollas Fase de Grupos'!AJ26,'Resultados Oficiales Fase de Gr'!$D$23,'Pollas Fase de Grupos'!AK26,'Resultados Oficiales Fase de Gr'!$E$23,AH26,'Resultados Oficiales Fase de Gr'!$G$23)</f>
        <v>3</v>
      </c>
      <c r="AJ26" s="85" t="str">
        <f>IF('Pollas Fase de Grupos'!AL26&gt;'Pollas Fase de Grupos'!AM26,'Pollas Fase de Grupos'!$AL$2,IF('Pollas Fase de Grupos'!AM26&gt;'Pollas Fase de Grupos'!AL26,'Pollas Fase de Grupos'!$AM$2,"EMPATE"))</f>
        <v>Mexico</v>
      </c>
      <c r="AK26" s="85">
        <f>PUNTAJE_GANADORES('Pollas Fase de Grupos'!AL26,'Resultados Oficiales Fase de Gr'!$D$24,'Pollas Fase de Grupos'!AM26,'Resultados Oficiales Fase de Gr'!$E$24,AJ26,'Resultados Oficiales Fase de Gr'!$G$24)</f>
        <v>5</v>
      </c>
      <c r="AL26" s="85" t="str">
        <f>IF('Pollas Fase de Grupos'!AN26&gt;'Pollas Fase de Grupos'!AO26,'Pollas Fase de Grupos'!$AN$2,IF('Pollas Fase de Grupos'!AO26&gt;'Pollas Fase de Grupos'!AN26,'Pollas Fase de Grupos'!$AO$2,"EMPATE"))</f>
        <v>Francia</v>
      </c>
      <c r="AM26" s="85">
        <f>PUNTAJE_GANADORES('Pollas Fase de Grupos'!AN26,'Resultados Oficiales Fase de Gr'!$D$27,'Pollas Fase de Grupos'!AO26,'Resultados Oficiales Fase de Gr'!$E$27,AL26,'Resultados Oficiales Fase de Gr'!$G$27)</f>
        <v>5</v>
      </c>
      <c r="AN26" s="85" t="str">
        <f>IF('Pollas Fase de Grupos'!AP26&gt;'Pollas Fase de Grupos'!AQ26,'Pollas Fase de Grupos'!$AP$2,IF('Pollas Fase de Grupos'!AQ26&gt;'Pollas Fase de Grupos'!AP26,'Pollas Fase de Grupos'!$AQ$2,"EMPATE"))</f>
        <v>Dinamarca</v>
      </c>
      <c r="AO26" s="85">
        <f>PUNTAJE_GANADORES('Pollas Fase de Grupos'!AP26,'Resultados Oficiales Fase de Gr'!$D$28,'Pollas Fase de Grupos'!AQ26,'Resultados Oficiales Fase de Gr'!$E$28,AN26,'Resultados Oficiales Fase de Gr'!$G$28)</f>
        <v>1</v>
      </c>
      <c r="AP26" s="85" t="str">
        <f>IF('Pollas Fase de Grupos'!AR26&gt;'Pollas Fase de Grupos'!AS26,'Pollas Fase de Grupos'!$AR$2,IF('Pollas Fase de Grupos'!AS26&gt;'Pollas Fase de Grupos'!AR26,'Pollas Fase de Grupos'!$AS$2,"EMPATE"))</f>
        <v>Francia</v>
      </c>
      <c r="AQ26" s="85">
        <f>PUNTAJE_GANADORES('Pollas Fase de Grupos'!AR26,'Resultados Oficiales Fase de Gr'!$D$29,'Pollas Fase de Grupos'!AS26,'Resultados Oficiales Fase de Gr'!$E$29,AP26,'Resultados Oficiales Fase de Gr'!$G$29)</f>
        <v>3</v>
      </c>
      <c r="AR26" s="85" t="str">
        <f>IF('Pollas Fase de Grupos'!AT26&gt;'Pollas Fase de Grupos'!AU26,'Pollas Fase de Grupos'!$AT$2,IF('Pollas Fase de Grupos'!AU26&gt;'Pollas Fase de Grupos'!AT26,'Pollas Fase de Grupos'!$AU$2,"EMPATE"))</f>
        <v>Australia</v>
      </c>
      <c r="AS26" s="85">
        <f>PUNTAJE_GANADORES('Pollas Fase de Grupos'!AT26,'Resultados Oficiales Fase de Gr'!$D$30,'Pollas Fase de Grupos'!AU26,'Resultados Oficiales Fase de Gr'!$E$30,AR26,'Resultados Oficiales Fase de Gr'!$G$30)</f>
        <v>2</v>
      </c>
      <c r="AT26" s="85" t="str">
        <f>IF('Pollas Fase de Grupos'!AV26&gt;'Pollas Fase de Grupos'!AW26,'Pollas Fase de Grupos'!$AV$2,IF('Pollas Fase de Grupos'!AW26&gt;'Pollas Fase de Grupos'!AV26,'Pollas Fase de Grupos'!$AW$2,"EMPATE"))</f>
        <v>Francia</v>
      </c>
      <c r="AU26" s="85">
        <f>PUNTAJE_GANADORES('Pollas Fase de Grupos'!AV26,'Resultados Oficiales Fase de Gr'!$D$31,'Pollas Fase de Grupos'!AW26,'Resultados Oficiales Fase de Gr'!$E$31,AT26,'Resultados Oficiales Fase de Gr'!$G$31)</f>
        <v>0</v>
      </c>
      <c r="AV26" s="85" t="str">
        <f>IF('Pollas Fase de Grupos'!AX26&gt;'Pollas Fase de Grupos'!AY26,'Pollas Fase de Grupos'!$AX$2,IF('Pollas Fase de Grupos'!AY26&gt;'Pollas Fase de Grupos'!AX26,'Pollas Fase de Grupos'!$AY$2,"EMPATE"))</f>
        <v>EMPATE</v>
      </c>
      <c r="AW26" s="85">
        <f>PUNTAJE_GANADORES('Pollas Fase de Grupos'!AX26,'Resultados Oficiales Fase de Gr'!$D$32,'Pollas Fase de Grupos'!AY26,'Resultados Oficiales Fase de Gr'!$E$32,AV26,'Resultados Oficiales Fase de Gr'!$G$32)</f>
        <v>0</v>
      </c>
      <c r="AX26" s="85" t="str">
        <f>IF('Pollas Fase de Grupos'!AZ26&gt;'Pollas Fase de Grupos'!BA26,'Pollas Fase de Grupos'!$AZ$2,IF('Pollas Fase de Grupos'!BA26&gt;'Pollas Fase de Grupos'!AZ26,'Pollas Fase de Grupos'!$BA$2,"EMPATE"))</f>
        <v>España</v>
      </c>
      <c r="AY26" s="85">
        <f>PUNTAJE_GANADORES('Pollas Fase de Grupos'!AZ26,'Resultados Oficiales Fase de Gr'!$D$35,'Pollas Fase de Grupos'!BA26,'Resultados Oficiales Fase de Gr'!$E$35,AX26,'Resultados Oficiales Fase de Gr'!$G$35)</f>
        <v>1</v>
      </c>
      <c r="AZ26" s="85" t="str">
        <f>IF('Pollas Fase de Grupos'!BB26&gt;'Pollas Fase de Grupos'!BC26,'Pollas Fase de Grupos'!$BB$2,IF('Pollas Fase de Grupos'!BC26&gt;'Pollas Fase de Grupos'!BB26,'Pollas Fase de Grupos'!$BC$2,"EMPATE"))</f>
        <v>Alemania</v>
      </c>
      <c r="BA26" s="85">
        <f>PUNTAJE_GANADORES('Pollas Fase de Grupos'!BB26,'Resultados Oficiales Fase de Gr'!$D$36,'Pollas Fase de Grupos'!BC26,'Resultados Oficiales Fase de Gr'!$E$36,AZ26,'Resultados Oficiales Fase de Gr'!$G$36)</f>
        <v>0</v>
      </c>
      <c r="BB26" s="85" t="str">
        <f>IF('Pollas Fase de Grupos'!BD26&gt;'Pollas Fase de Grupos'!BE26,'Pollas Fase de Grupos'!$BD$2,IF('Pollas Fase de Grupos'!BE26&gt;'Pollas Fase de Grupos'!BD26,'Pollas Fase de Grupos'!$BE$2,"EMPATE"))</f>
        <v>EMPATE</v>
      </c>
      <c r="BC26" s="85">
        <f>PUNTAJE_GANADORES('Pollas Fase de Grupos'!BD26,'Resultados Oficiales Fase de Gr'!$D$37,'Pollas Fase de Grupos'!BE26,'Resultados Oficiales Fase de Gr'!$E$37,BB26,'Resultados Oficiales Fase de Gr'!$G$37)</f>
        <v>1</v>
      </c>
      <c r="BD26" s="85" t="str">
        <f>IF('Pollas Fase de Grupos'!BF26&gt;'Pollas Fase de Grupos'!BG26,'Pollas Fase de Grupos'!$BF$2,IF('Pollas Fase de Grupos'!BG26&gt;'Pollas Fase de Grupos'!BF26,'Pollas Fase de Grupos'!$BG$2,"EMPATE"))</f>
        <v>Japon</v>
      </c>
      <c r="BE26" s="85">
        <f>PUNTAJE_GANADORES('Pollas Fase de Grupos'!BF26,'Resultados Oficiales Fase de Gr'!$D$38,'Pollas Fase de Grupos'!BG26,'Resultados Oficiales Fase de Gr'!$E$38,BD26,'Resultados Oficiales Fase de Gr'!$G$38)</f>
        <v>0</v>
      </c>
      <c r="BF26" s="85" t="str">
        <f>IF('Pollas Fase de Grupos'!BH26&gt;'Pollas Fase de Grupos'!BI26,'Pollas Fase de Grupos'!$BH$2,IF('Pollas Fase de Grupos'!BI26&gt;'Pollas Fase de Grupos'!BH26,'Pollas Fase de Grupos'!$BI$2,"EMPATE"))</f>
        <v>España</v>
      </c>
      <c r="BG26" s="85">
        <f>PUNTAJE_GANADORES('Pollas Fase de Grupos'!BH26,'Resultados Oficiales Fase de Gr'!$D$39,'Pollas Fase de Grupos'!BI26,'Resultados Oficiales Fase de Gr'!$E$39,BF26,'Resultados Oficiales Fase de Gr'!$G$39)</f>
        <v>1</v>
      </c>
      <c r="BH26" s="85" t="str">
        <f>IF('Pollas Fase de Grupos'!BJ26&gt;'Pollas Fase de Grupos'!BK26,'Pollas Fase de Grupos'!$BJ$2,IF('Pollas Fase de Grupos'!BK26&gt;'Pollas Fase de Grupos'!BJ26,'Pollas Fase de Grupos'!$BK$2,"EMPATE"))</f>
        <v>Alemania</v>
      </c>
      <c r="BI26" s="85">
        <f>PUNTAJE_GANADORES('Pollas Fase de Grupos'!BJ26,'Resultados Oficiales Fase de Gr'!$D$40,'Pollas Fase de Grupos'!BK26,'Resultados Oficiales Fase de Gr'!$E$40,BH26,'Resultados Oficiales Fase de Gr'!$G$40)</f>
        <v>3</v>
      </c>
      <c r="BJ26" s="85" t="str">
        <f>IF('Pollas Fase de Grupos'!BL26&gt;'Pollas Fase de Grupos'!BM26,'Pollas Fase de Grupos'!$BL$2,IF('Pollas Fase de Grupos'!BM26&gt;'Pollas Fase de Grupos'!BL26,'Pollas Fase de Grupos'!$BM$2,"EMPATE"))</f>
        <v>Belgica</v>
      </c>
      <c r="BK26" s="85">
        <f>PUNTAJE_GANADORES('Pollas Fase de Grupos'!BL26,'Resultados Oficiales Fase de Gr'!$D$43,'Pollas Fase de Grupos'!BM26,'Resultados Oficiales Fase de Gr'!$E$43,BJ26,'Resultados Oficiales Fase de Gr'!$G$43)</f>
        <v>3</v>
      </c>
      <c r="BL26" s="85" t="str">
        <f>IF('Pollas Fase de Grupos'!BN26&gt;'Pollas Fase de Grupos'!BO26,'Pollas Fase de Grupos'!$BN$2,IF('Pollas Fase de Grupos'!BO26&gt;'Pollas Fase de Grupos'!BN26,'Pollas Fase de Grupos'!$BO$2,"EMPATE"))</f>
        <v>EMPATE</v>
      </c>
      <c r="BM26" s="85">
        <f>PUNTAJE_GANADORES('Pollas Fase de Grupos'!BN26,'Resultados Oficiales Fase de Gr'!$D$44,'Pollas Fase de Grupos'!BO26,'Resultados Oficiales Fase de Gr'!$E$44,BL26,'Resultados Oficiales Fase de Gr'!$G$44)</f>
        <v>5</v>
      </c>
      <c r="BN26" s="85" t="str">
        <f>IF('Pollas Fase de Grupos'!BP26&gt;'Pollas Fase de Grupos'!BQ26,'Pollas Fase de Grupos'!$BP$2,IF('Pollas Fase de Grupos'!BQ26&gt;'Pollas Fase de Grupos'!BP26,'Pollas Fase de Grupos'!$BQ$2,"EMPATE"))</f>
        <v>Belgica</v>
      </c>
      <c r="BO26" s="85">
        <f>PUNTAJE_GANADORES('Pollas Fase de Grupos'!BP26,'Resultados Oficiales Fase de Gr'!$D$45,'Pollas Fase de Grupos'!BQ26,'Resultados Oficiales Fase de Gr'!$E$45,BN26,'Resultados Oficiales Fase de Gr'!$G$45)</f>
        <v>0</v>
      </c>
      <c r="BP26" s="85" t="str">
        <f>IF('Pollas Fase de Grupos'!BR26&gt;'Pollas Fase de Grupos'!BS26,'Pollas Fase de Grupos'!$BR$2,IF('Pollas Fase de Grupos'!BS26&gt;'Pollas Fase de Grupos'!BR26,'Pollas Fase de Grupos'!$BS$2,"EMPATE"))</f>
        <v>EMPATE</v>
      </c>
      <c r="BQ26" s="85">
        <f>PUNTAJE_GANADORES('Pollas Fase de Grupos'!BR26,'Resultados Oficiales Fase de Gr'!$D$46,'Pollas Fase de Grupos'!BS26,'Resultados Oficiales Fase de Gr'!$E$46,BP26,'Resultados Oficiales Fase de Gr'!$G$46)</f>
        <v>1</v>
      </c>
      <c r="BR26" s="85" t="str">
        <f>IF('Pollas Fase de Grupos'!BT26&gt;'Pollas Fase de Grupos'!BU26,'Pollas Fase de Grupos'!$BT$2,IF('Pollas Fase de Grupos'!BU26&gt;'Pollas Fase de Grupos'!BT26,'Pollas Fase de Grupos'!$BU$2,"EMPATE"))</f>
        <v>EMPATE</v>
      </c>
      <c r="BS26" s="85">
        <f>PUNTAJE_GANADORES('Pollas Fase de Grupos'!BT26,'Resultados Oficiales Fase de Gr'!$D$47,'Pollas Fase de Grupos'!BU26,'Resultados Oficiales Fase de Gr'!$E$47,BR26,'Resultados Oficiales Fase de Gr'!$G$47)</f>
        <v>1</v>
      </c>
      <c r="BT26" s="85" t="str">
        <f>IF('Pollas Fase de Grupos'!BV26&gt;'Pollas Fase de Grupos'!BW26,'Pollas Fase de Grupos'!$BV$2,IF('Pollas Fase de Grupos'!BW26&gt;'Pollas Fase de Grupos'!BV26,'Pollas Fase de Grupos'!$BW$2,"EMPATE"))</f>
        <v>EMPATE</v>
      </c>
      <c r="BU26" s="85">
        <f>PUNTAJE_GANADORES('Pollas Fase de Grupos'!BV26,'Resultados Oficiales Fase de Gr'!$D$48,'Pollas Fase de Grupos'!BW26,'Resultados Oficiales Fase de Gr'!$E$48,BT26,'Resultados Oficiales Fase de Gr'!$G$48)</f>
        <v>1</v>
      </c>
      <c r="BV26" s="85" t="str">
        <f>IF('Pollas Fase de Grupos'!BX26&gt;'Pollas Fase de Grupos'!BY26,'Pollas Fase de Grupos'!$BX$2,IF('Pollas Fase de Grupos'!BY26&gt;'Pollas Fase de Grupos'!BX26,'Pollas Fase de Grupos'!$BY$2,"EMPATE"))</f>
        <v>Brasil</v>
      </c>
      <c r="BW26" s="85">
        <f>PUNTAJE_GANADORES('Pollas Fase de Grupos'!BX26,'Resultados Oficiales Fase de Gr'!$D$51,'Pollas Fase de Grupos'!BY26,'Resultados Oficiales Fase de Gr'!$E$51,BV26,'Resultados Oficiales Fase de Gr'!$G$51)</f>
        <v>3</v>
      </c>
      <c r="BX26" s="85" t="str">
        <f>IF('Pollas Fase de Grupos'!BZ26&gt;'Pollas Fase de Grupos'!CA26,'Pollas Fase de Grupos'!$BZ$2,IF('Pollas Fase de Grupos'!CA26&gt;'Pollas Fase de Grupos'!BZ26,'Pollas Fase de Grupos'!$CA$2,"EMPATE"))</f>
        <v>Camerun</v>
      </c>
      <c r="BY26" s="85">
        <f>PUNTAJE_GANADORES('Pollas Fase de Grupos'!BZ26,'Resultados Oficiales Fase de Gr'!$D$52,'Pollas Fase de Grupos'!CA26,'Resultados Oficiales Fase de Gr'!$E$52,BX26,'Resultados Oficiales Fase de Gr'!$G$52)</f>
        <v>0</v>
      </c>
      <c r="BZ26" s="85" t="str">
        <f>IF('Pollas Fase de Grupos'!CB26&gt;'Pollas Fase de Grupos'!CC26,'Pollas Fase de Grupos'!$CB$2,IF('Pollas Fase de Grupos'!CC26&gt;'Pollas Fase de Grupos'!CB26,'Pollas Fase de Grupos'!$CC$2,"EMPATE"))</f>
        <v>Brasil</v>
      </c>
      <c r="CA26" s="85">
        <f>PUNTAJE_GANADORES('Pollas Fase de Grupos'!CB26,'Resultados Oficiales Fase de Gr'!$D$53,'Pollas Fase de Grupos'!CC26,'Resultados Oficiales Fase de Gr'!$E$53,BZ26,'Resultados Oficiales Fase de Gr'!$G$53)</f>
        <v>2</v>
      </c>
      <c r="CB26" s="85" t="str">
        <f>IF('Pollas Fase de Grupos'!CD26&gt;'Pollas Fase de Grupos'!CE26,'Pollas Fase de Grupos'!$CD$2,IF('Pollas Fase de Grupos'!CE26&gt;'Pollas Fase de Grupos'!CD26,'Pollas Fase de Grupos'!$CE$2,"EMPATE"))</f>
        <v>Camerun</v>
      </c>
      <c r="CC26" s="85">
        <f>PUNTAJE_GANADORES('Pollas Fase de Grupos'!CD26,'Resultados Oficiales Fase de Gr'!$D$54,'Pollas Fase de Grupos'!CE26,'Resultados Oficiales Fase de Gr'!$E$54,CB26,'Resultados Oficiales Fase de Gr'!$G$54)</f>
        <v>0</v>
      </c>
      <c r="CD26" s="85" t="str">
        <f>IF('Pollas Fase de Grupos'!CF26&gt;'Pollas Fase de Grupos'!CG26,'Pollas Fase de Grupos'!$CF$2,IF('Pollas Fase de Grupos'!CG26&gt;'Pollas Fase de Grupos'!CF26,'Pollas Fase de Grupos'!$CG$2,"EMPATE"))</f>
        <v>Brasil</v>
      </c>
      <c r="CE26" s="85">
        <f>PUNTAJE_GANADORES('Pollas Fase de Grupos'!CF26,'Resultados Oficiales Fase de Gr'!$D$55,'Pollas Fase de Grupos'!CG26,'Resultados Oficiales Fase de Gr'!$E$55,CD26,'Resultados Oficiales Fase de Gr'!$G$55)</f>
        <v>1</v>
      </c>
      <c r="CF26" s="85" t="str">
        <f>IF('Pollas Fase de Grupos'!CH26&gt;'Pollas Fase de Grupos'!CI26,'Pollas Fase de Grupos'!$CH$2,IF('Pollas Fase de Grupos'!CI26&gt;'Pollas Fase de Grupos'!CH26,'Pollas Fase de Grupos'!$CI$2,"EMPATE"))</f>
        <v>Suiza</v>
      </c>
      <c r="CG26" s="85">
        <f>PUNTAJE_GANADORES('Pollas Fase de Grupos'!CH26,'Resultados Oficiales Fase de Gr'!$D$56,'Pollas Fase de Grupos'!CI26,'Resultados Oficiales Fase de Gr'!$E$56,CF26,'Resultados Oficiales Fase de Gr'!$G$56)</f>
        <v>2</v>
      </c>
      <c r="CH26" s="85" t="str">
        <f>IF('Pollas Fase de Grupos'!CJ26&gt;'Pollas Fase de Grupos'!CK26,'Pollas Fase de Grupos'!$CJ$2,IF('Pollas Fase de Grupos'!CK26&gt;'Pollas Fase de Grupos'!CJ26,'Pollas Fase de Grupos'!$CK$2,"EMPATE"))</f>
        <v>Portugal</v>
      </c>
      <c r="CI26" s="85">
        <f>PUNTAJE_GANADORES('Pollas Fase de Grupos'!CJ26,'Resultados Oficiales Fase de Gr'!$D$59,'Pollas Fase de Grupos'!CK26,'Resultados Oficiales Fase de Gr'!$E$59,CH26,'Resultados Oficiales Fase de Gr'!$G$59)</f>
        <v>2</v>
      </c>
      <c r="CJ26" s="85" t="str">
        <f>IF('Pollas Fase de Grupos'!CL26&gt;'Pollas Fase de Grupos'!CM26,'Pollas Fase de Grupos'!$CL$2,IF('Pollas Fase de Grupos'!CM26&gt;'Pollas Fase de Grupos'!CL26,'Pollas Fase de Grupos'!$CM$2,"EMPATE"))</f>
        <v>Uruguay</v>
      </c>
      <c r="CK26" s="85">
        <f>PUNTAJE_GANADORES('Pollas Fase de Grupos'!CL26,'Resultados Oficiales Fase de Gr'!$D$60,'Pollas Fase de Grupos'!CM26,'Resultados Oficiales Fase de Gr'!$E$60,CJ26,'Resultados Oficiales Fase de Gr'!$G$60)</f>
        <v>0</v>
      </c>
      <c r="CL26" s="85" t="str">
        <f>IF('Pollas Fase de Grupos'!CN26&gt;'Pollas Fase de Grupos'!CO26,'Pollas Fase de Grupos'!$CN$2,IF('Pollas Fase de Grupos'!CO26&gt;'Pollas Fase de Grupos'!CN26,'Pollas Fase de Grupos'!$CO$2,"EMPATE"))</f>
        <v>EMPATE</v>
      </c>
      <c r="CM26" s="85">
        <f>PUNTAJE_GANADORES('Pollas Fase de Grupos'!CN26,'Resultados Oficiales Fase de Gr'!$D$61,'Pollas Fase de Grupos'!CO26,'Resultados Oficiales Fase de Gr'!$E$61,CL26,'Resultados Oficiales Fase de Gr'!$G$61)</f>
        <v>0</v>
      </c>
      <c r="CN26" s="85" t="str">
        <f>IF('Pollas Fase de Grupos'!CP26&gt;'Pollas Fase de Grupos'!CQ26,'Pollas Fase de Grupos'!$CP$2,IF('Pollas Fase de Grupos'!CQ26&gt;'Pollas Fase de Grupos'!CP26,'Pollas Fase de Grupos'!$CQ$2,"EMPATE"))</f>
        <v>EMPATE</v>
      </c>
      <c r="CO26" s="85">
        <f>PUNTAJE_GANADORES('Pollas Fase de Grupos'!CP26,'Resultados Oficiales Fase de Gr'!$D$62,'Pollas Fase de Grupos'!CQ26,'Resultados Oficiales Fase de Gr'!$E$62,CN26,'Resultados Oficiales Fase de Gr'!$G$62)</f>
        <v>0</v>
      </c>
      <c r="CP26" s="85" t="str">
        <f>IF('Pollas Fase de Grupos'!CR26&gt;'Pollas Fase de Grupos'!CS26,'Pollas Fase de Grupos'!$CR$2,IF('Pollas Fase de Grupos'!CS26&gt;'Pollas Fase de Grupos'!CR26,'Pollas Fase de Grupos'!$CS$2,"EMPATE"))</f>
        <v>Portugal</v>
      </c>
      <c r="CQ26" s="85">
        <f>PUNTAJE_GANADORES('Pollas Fase de Grupos'!CR26,'Resultados Oficiales Fase de Gr'!$D$63,'Pollas Fase de Grupos'!CS26,'Resultados Oficiales Fase de Gr'!$E$63,CP26,'Resultados Oficiales Fase de Gr'!$G$63)</f>
        <v>0</v>
      </c>
      <c r="CR26" s="85" t="str">
        <f>IF('Pollas Fase de Grupos'!CT26&gt;'Pollas Fase de Grupos'!CU26,'Pollas Fase de Grupos'!$CT$2,IF('Pollas Fase de Grupos'!CU26&gt;'Pollas Fase de Grupos'!CT26,'Pollas Fase de Grupos'!$CU$2,"EMPATE"))</f>
        <v>Uruguay</v>
      </c>
      <c r="CS26" s="85">
        <f>PUNTAJE_GANADORES('Pollas Fase de Grupos'!CT26,'Resultados Oficiales Fase de Gr'!$D$64,'Pollas Fase de Grupos'!CU26,'Resultados Oficiales Fase de Gr'!$E$64,CR26,'Resultados Oficiales Fase de Gr'!$G$64)</f>
        <v>3</v>
      </c>
      <c r="CT26" s="4">
        <f t="shared" si="1"/>
        <v>70</v>
      </c>
      <c r="CU26" s="17">
        <v>46.0</v>
      </c>
      <c r="CV26" s="3">
        <f t="shared" si="2"/>
        <v>73</v>
      </c>
    </row>
    <row r="27">
      <c r="A27" s="3" t="str">
        <f>'Pollas Fase de Grupos'!CV27</f>
        <v>La Perripolla</v>
      </c>
      <c r="B27" s="4" t="str">
        <f>IF('Pollas Fase de Grupos'!D27&gt;'Pollas Fase de Grupos'!E27,'Pollas Fase de Grupos'!$D$2,IF('Pollas Fase de Grupos'!E27&gt;'Pollas Fase de Grupos'!D27,'Pollas Fase de Grupos'!$E$2,"EMPATE"))</f>
        <v>Ecuador</v>
      </c>
      <c r="C27" s="4">
        <f>PUNTAJE_GANADORES('Pollas Fase de Grupos'!D27,'Resultados Oficiales Fase de Gr'!$D$3,'Pollas Fase de Grupos'!E27,'Resultados Oficiales Fase de Gr'!$E$3,B27,'Resultados Oficiales Fase de Gr'!$G$3)</f>
        <v>3</v>
      </c>
      <c r="D27" s="85" t="str">
        <f>IF('Pollas Fase de Grupos'!F27&gt;'Pollas Fase de Grupos'!G27,'Pollas Fase de Grupos'!$F$2,IF('Pollas Fase de Grupos'!G27&gt;'Pollas Fase de Grupos'!F27,'Pollas Fase de Grupos'!$G$2,"EMPATE"))</f>
        <v>Paises Bajos</v>
      </c>
      <c r="E27" s="4">
        <f>PUNTAJE_GANADORES('Pollas Fase de Grupos'!F27,'Resultados Oficiales Fase de Gr'!$D$4,'Pollas Fase de Grupos'!G27,'Resultados Oficiales Fase de Gr'!$E$4,D27,'Resultados Oficiales Fase de Gr'!$G$4)</f>
        <v>3</v>
      </c>
      <c r="F27" s="85" t="str">
        <f>IF('Pollas Fase de Grupos'!H27&gt;'Pollas Fase de Grupos'!I27,'Pollas Fase de Grupos'!$H$2,IF('Pollas Fase de Grupos'!I27&gt;'Pollas Fase de Grupos'!H27,'Pollas Fase de Grupos'!$I$2,"EMPATE"))</f>
        <v>EMPATE</v>
      </c>
      <c r="G27" s="4">
        <f>PUNTAJE_GANADORES('Pollas Fase de Grupos'!H27,'Resultados Oficiales Fase de Gr'!$D$5,'Pollas Fase de Grupos'!I27,'Resultados Oficiales Fase de Gr'!$E$5,F27,'Resultados Oficiales Fase de Gr'!$G$5)</f>
        <v>0</v>
      </c>
      <c r="H27" s="85" t="str">
        <f>IF('Pollas Fase de Grupos'!J27&gt;'Pollas Fase de Grupos'!K27,'Pollas Fase de Grupos'!$J$2,IF('Pollas Fase de Grupos'!K27&gt;'Pollas Fase de Grupos'!J27,'Pollas Fase de Grupos'!$K$2,"EMPATE"))</f>
        <v>Paises Bajos</v>
      </c>
      <c r="I27" s="4">
        <f>PUNTAJE_GANADORES('Pollas Fase de Grupos'!J27,'Resultados Oficiales Fase de Gr'!$D$6,'Pollas Fase de Grupos'!K27,'Resultados Oficiales Fase de Gr'!$E$6,H27,'Resultados Oficiales Fase de Gr'!$G$6)</f>
        <v>1</v>
      </c>
      <c r="J27" s="85" t="str">
        <f>IF('Pollas Fase de Grupos'!L27&gt;'Pollas Fase de Grupos'!M27,'Pollas Fase de Grupos'!$L$2,IF('Pollas Fase de Grupos'!M27&gt;'Pollas Fase de Grupos'!L27,'Pollas Fase de Grupos'!$M$2,"EMPATE"))</f>
        <v>Paises Bajos</v>
      </c>
      <c r="K27" s="4">
        <f>PUNTAJE_GANADORES('Pollas Fase de Grupos'!L27,'Resultados Oficiales Fase de Gr'!$D$7,'Pollas Fase de Grupos'!M27,'Resultados Oficiales Fase de Gr'!$E$7,J27,'Resultados Oficiales Fase de Gr'!$G$7)</f>
        <v>3</v>
      </c>
      <c r="L27" s="85" t="str">
        <f>IF('Pollas Fase de Grupos'!N27&gt;'Pollas Fase de Grupos'!O27,'Pollas Fase de Grupos'!$N$2,IF('Pollas Fase de Grupos'!O27&gt;'Pollas Fase de Grupos'!N27,'Pollas Fase de Grupos'!$O$2,"EMPATE"))</f>
        <v>EMPATE</v>
      </c>
      <c r="M27" s="85">
        <f>PUNTAJE_GANADORES('Pollas Fase de Grupos'!N27,'Resultados Oficiales Fase de Gr'!$D$8,'Pollas Fase de Grupos'!O27,'Resultados Oficiales Fase de Gr'!$E$8,L27,'Resultados Oficiales Fase de Gr'!$G$8)</f>
        <v>1</v>
      </c>
      <c r="N27" s="85" t="str">
        <f>IF('Pollas Fase de Grupos'!P27&gt;'Pollas Fase de Grupos'!Q27,'Pollas Fase de Grupos'!$P$2,IF('Pollas Fase de Grupos'!Q27&gt;'Pollas Fase de Grupos'!P27,'Pollas Fase de Grupos'!$Q$2,"EMPATE"))</f>
        <v>Inglaterra</v>
      </c>
      <c r="O27" s="85">
        <f>PUNTAJE_GANADORES('Pollas Fase de Grupos'!P27,'Resultados Oficiales Fase de Gr'!$D$11,'Pollas Fase de Grupos'!Q27,'Resultados Oficiales Fase de Gr'!$E$11,N27,'Resultados Oficiales Fase de Gr'!$G$11)</f>
        <v>2</v>
      </c>
      <c r="P27" s="4" t="str">
        <f>IF('Pollas Fase de Grupos'!R27&gt;'Pollas Fase de Grupos'!S27,'Pollas Fase de Grupos'!$R$2,IF('Pollas Fase de Grupos'!S27&gt;'Pollas Fase de Grupos'!R27,'Pollas Fase de Grupos'!$S$2,"EMPATE"))</f>
        <v>EMPATE</v>
      </c>
      <c r="Q27" s="85">
        <f>PUNTAJE_GANADORES('Pollas Fase de Grupos'!R27,'Resultados Oficiales Fase de Gr'!$D$12,'Pollas Fase de Grupos'!S27,'Resultados Oficiales Fase de Gr'!$E$12,P27,'Resultados Oficiales Fase de Gr'!$G$12)</f>
        <v>5</v>
      </c>
      <c r="R27" s="85" t="str">
        <f>IF('Pollas Fase de Grupos'!T27&gt;'Pollas Fase de Grupos'!U27,'Pollas Fase de Grupos'!$T$2,IF('Pollas Fase de Grupos'!U27&gt;'Pollas Fase de Grupos'!T27,'Pollas Fase de Grupos'!$U$2,"EMPATE"))</f>
        <v>Inglaterra</v>
      </c>
      <c r="S27" s="4">
        <f>PUNTAJE_GANADORES('Pollas Fase de Grupos'!T27,'Resultados Oficiales Fase de Gr'!$D$13,'Pollas Fase de Grupos'!U27,'Resultados Oficiales Fase de Gr'!$E$13,R27,'Resultados Oficiales Fase de Gr'!$G$13)</f>
        <v>1</v>
      </c>
      <c r="T27" s="85" t="str">
        <f>IF('Pollas Fase de Grupos'!V27&gt;'Pollas Fase de Grupos'!W27,'Pollas Fase de Grupos'!$V$2,IF('Pollas Fase de Grupos'!W27&gt;'Pollas Fase de Grupos'!V27,'Pollas Fase de Grupos'!$W$2,"EMPATE"))</f>
        <v>Gales</v>
      </c>
      <c r="U27" s="86">
        <f>PUNTAJE_GANADORES('Pollas Fase de Grupos'!V27,'Resultados Oficiales Fase de Gr'!$D$14,'Pollas Fase de Grupos'!W27,'Resultados Oficiales Fase de Gr'!$E$14,T27,'Resultados Oficiales Fase de Gr'!$G$14)</f>
        <v>0</v>
      </c>
      <c r="V27" s="85" t="str">
        <f>IF('Pollas Fase de Grupos'!X27&gt;'Pollas Fase de Grupos'!Y27,'Pollas Fase de Grupos'!$X$2,IF('Pollas Fase de Grupos'!Y27&gt;'Pollas Fase de Grupos'!X27,'Pollas Fase de Grupos'!$Y$2,"EMPATE"))</f>
        <v>Inglaterra</v>
      </c>
      <c r="W27" s="85">
        <f>PUNTAJE_GANADORES('Pollas Fase de Grupos'!X27,'Resultados Oficiales Fase de Gr'!$D$15,'Pollas Fase de Grupos'!Y27,'Resultados Oficiales Fase de Gr'!$E$15,V27,'Resultados Oficiales Fase de Gr'!$G$15)</f>
        <v>3</v>
      </c>
      <c r="X27" s="85" t="str">
        <f>IF('Pollas Fase de Grupos'!Z27&gt;'Pollas Fase de Grupos'!AA27,'Pollas Fase de Grupos'!$Z$2,IF('Pollas Fase de Grupos'!AA27&gt;'Pollas Fase de Grupos'!Z27,'Pollas Fase de Grupos'!$AA$2,"EMPATE"))</f>
        <v>Estados Unidos</v>
      </c>
      <c r="Y27" s="87">
        <f>PUNTAJE_GANADORES('Pollas Fase de Grupos'!Z27,'Resultados Oficiales Fase de Gr'!$D$16,'Pollas Fase de Grupos'!AA27,'Resultados Oficiales Fase de Gr'!$E$16,X27,'Resultados Oficiales Fase de Gr'!$G$16)</f>
        <v>3</v>
      </c>
      <c r="Z27" s="85" t="str">
        <f>IF('Pollas Fase de Grupos'!AB27&gt;'Pollas Fase de Grupos'!AC27,'Pollas Fase de Grupos'!$AB$2,IF('Pollas Fase de Grupos'!AC27&gt;'Pollas Fase de Grupos'!AB27,'Pollas Fase de Grupos'!$AC$2,"EMPATE"))</f>
        <v>Argentina</v>
      </c>
      <c r="AA27" s="85">
        <f>PUNTAJE_GANADORES('Pollas Fase de Grupos'!AB27,'Resultados Oficiales Fase de Gr'!$D$19,'Pollas Fase de Grupos'!AC27,'Resultados Oficiales Fase de Gr'!$E$19,Z27,'Resultados Oficiales Fase de Gr'!$G$19)</f>
        <v>0</v>
      </c>
      <c r="AB27" s="85" t="str">
        <f>IF('Pollas Fase de Grupos'!AD27&gt;'Pollas Fase de Grupos'!AE27,'Pollas Fase de Grupos'!$AD$2,IF('Pollas Fase de Grupos'!AE27&gt;'Pollas Fase de Grupos'!AD27,'Pollas Fase de Grupos'!$AE$2,"EMPATE"))</f>
        <v>EMPATE</v>
      </c>
      <c r="AC27" s="85">
        <f>PUNTAJE_GANADORES('Pollas Fase de Grupos'!AD27,'Resultados Oficiales Fase de Gr'!$D$20,'Pollas Fase de Grupos'!AE27,'Resultados Oficiales Fase de Gr'!$E$20,AB27,'Resultados Oficiales Fase de Gr'!$G$20)</f>
        <v>1</v>
      </c>
      <c r="AD27" s="85" t="str">
        <f>IF('Pollas Fase de Grupos'!AF27&gt;'Pollas Fase de Grupos'!AG27,'Pollas Fase de Grupos'!$AF$2,IF('Pollas Fase de Grupos'!AG27&gt;'Pollas Fase de Grupos'!AF27,'Pollas Fase de Grupos'!$AG$2,"EMPATE"))</f>
        <v>Argentina</v>
      </c>
      <c r="AE27" s="85">
        <f>PUNTAJE_GANADORES('Pollas Fase de Grupos'!AF27,'Resultados Oficiales Fase de Gr'!$D$21,'Pollas Fase de Grupos'!AG27,'Resultados Oficiales Fase de Gr'!$E$21,AD27,'Resultados Oficiales Fase de Gr'!$G$21)</f>
        <v>3</v>
      </c>
      <c r="AF27" s="85" t="str">
        <f>IF('Pollas Fase de Grupos'!AH27&gt;'Pollas Fase de Grupos'!AI27,'Pollas Fase de Grupos'!$AH$2,IF('Pollas Fase de Grupos'!AI27&gt;'Pollas Fase de Grupos'!AH27,'Pollas Fase de Grupos'!$AI$2,"EMPATE"))</f>
        <v>Polonia</v>
      </c>
      <c r="AG27" s="85">
        <f>PUNTAJE_GANADORES('Pollas Fase de Grupos'!AH27,'Resultados Oficiales Fase de Gr'!$D$22,'Pollas Fase de Grupos'!AI27,'Resultados Oficiales Fase de Gr'!$E$22,AF27,'Resultados Oficiales Fase de Gr'!$G$22)</f>
        <v>5</v>
      </c>
      <c r="AH27" s="85" t="str">
        <f>IF('Pollas Fase de Grupos'!AJ27&gt;'Pollas Fase de Grupos'!AK27,'Pollas Fase de Grupos'!$AJ$2,IF('Pollas Fase de Grupos'!AK27&gt;'Pollas Fase de Grupos'!AJ27,'Pollas Fase de Grupos'!$AK$2,"EMPATE"))</f>
        <v>Argentina</v>
      </c>
      <c r="AI27" s="85">
        <f>PUNTAJE_GANADORES('Pollas Fase de Grupos'!AJ27,'Resultados Oficiales Fase de Gr'!$D$23,'Pollas Fase de Grupos'!AK27,'Resultados Oficiales Fase de Gr'!$E$23,AH27,'Resultados Oficiales Fase de Gr'!$G$23)</f>
        <v>3</v>
      </c>
      <c r="AJ27" s="85" t="str">
        <f>IF('Pollas Fase de Grupos'!AL27&gt;'Pollas Fase de Grupos'!AM27,'Pollas Fase de Grupos'!$AL$2,IF('Pollas Fase de Grupos'!AM27&gt;'Pollas Fase de Grupos'!AL27,'Pollas Fase de Grupos'!$AM$2,"EMPATE"))</f>
        <v>Mexico</v>
      </c>
      <c r="AK27" s="85">
        <f>PUNTAJE_GANADORES('Pollas Fase de Grupos'!AL27,'Resultados Oficiales Fase de Gr'!$D$24,'Pollas Fase de Grupos'!AM27,'Resultados Oficiales Fase de Gr'!$E$24,AJ27,'Resultados Oficiales Fase de Gr'!$G$24)</f>
        <v>3</v>
      </c>
      <c r="AL27" s="85" t="str">
        <f>IF('Pollas Fase de Grupos'!AN27&gt;'Pollas Fase de Grupos'!AO27,'Pollas Fase de Grupos'!$AN$2,IF('Pollas Fase de Grupos'!AO27&gt;'Pollas Fase de Grupos'!AN27,'Pollas Fase de Grupos'!$AO$2,"EMPATE"))</f>
        <v>Francia</v>
      </c>
      <c r="AM27" s="85">
        <f>PUNTAJE_GANADORES('Pollas Fase de Grupos'!AN27,'Resultados Oficiales Fase de Gr'!$D$27,'Pollas Fase de Grupos'!AO27,'Resultados Oficiales Fase de Gr'!$E$27,AL27,'Resultados Oficiales Fase de Gr'!$G$27)</f>
        <v>2</v>
      </c>
      <c r="AN27" s="85" t="str">
        <f>IF('Pollas Fase de Grupos'!AP27&gt;'Pollas Fase de Grupos'!AQ27,'Pollas Fase de Grupos'!$AP$2,IF('Pollas Fase de Grupos'!AQ27&gt;'Pollas Fase de Grupos'!AP27,'Pollas Fase de Grupos'!$AQ$2,"EMPATE"))</f>
        <v>Dinamarca</v>
      </c>
      <c r="AO27" s="85">
        <f>PUNTAJE_GANADORES('Pollas Fase de Grupos'!AP27,'Resultados Oficiales Fase de Gr'!$D$28,'Pollas Fase de Grupos'!AQ27,'Resultados Oficiales Fase de Gr'!$E$28,AN27,'Resultados Oficiales Fase de Gr'!$G$28)</f>
        <v>1</v>
      </c>
      <c r="AP27" s="85" t="str">
        <f>IF('Pollas Fase de Grupos'!AR27&gt;'Pollas Fase de Grupos'!AS27,'Pollas Fase de Grupos'!$AR$2,IF('Pollas Fase de Grupos'!AS27&gt;'Pollas Fase de Grupos'!AR27,'Pollas Fase de Grupos'!$AS$2,"EMPATE"))</f>
        <v>Dinamarca</v>
      </c>
      <c r="AQ27" s="85">
        <f>PUNTAJE_GANADORES('Pollas Fase de Grupos'!AR27,'Resultados Oficiales Fase de Gr'!$D$29,'Pollas Fase de Grupos'!AS27,'Resultados Oficiales Fase de Gr'!$E$29,AP27,'Resultados Oficiales Fase de Gr'!$G$29)</f>
        <v>0</v>
      </c>
      <c r="AR27" s="85" t="str">
        <f>IF('Pollas Fase de Grupos'!AT27&gt;'Pollas Fase de Grupos'!AU27,'Pollas Fase de Grupos'!$AT$2,IF('Pollas Fase de Grupos'!AU27&gt;'Pollas Fase de Grupos'!AT27,'Pollas Fase de Grupos'!$AU$2,"EMPATE"))</f>
        <v>EMPATE</v>
      </c>
      <c r="AS27" s="85">
        <f>PUNTAJE_GANADORES('Pollas Fase de Grupos'!AT27,'Resultados Oficiales Fase de Gr'!$D$30,'Pollas Fase de Grupos'!AU27,'Resultados Oficiales Fase de Gr'!$E$30,AR27,'Resultados Oficiales Fase de Gr'!$G$30)</f>
        <v>1</v>
      </c>
      <c r="AT27" s="85" t="str">
        <f>IF('Pollas Fase de Grupos'!AV27&gt;'Pollas Fase de Grupos'!AW27,'Pollas Fase de Grupos'!$AV$2,IF('Pollas Fase de Grupos'!AW27&gt;'Pollas Fase de Grupos'!AV27,'Pollas Fase de Grupos'!$AW$2,"EMPATE"))</f>
        <v>Francia</v>
      </c>
      <c r="AU27" s="85">
        <f>PUNTAJE_GANADORES('Pollas Fase de Grupos'!AV27,'Resultados Oficiales Fase de Gr'!$D$31,'Pollas Fase de Grupos'!AW27,'Resultados Oficiales Fase de Gr'!$E$31,AT27,'Resultados Oficiales Fase de Gr'!$G$31)</f>
        <v>0</v>
      </c>
      <c r="AV27" s="85" t="str">
        <f>IF('Pollas Fase de Grupos'!AX27&gt;'Pollas Fase de Grupos'!AY27,'Pollas Fase de Grupos'!$AX$2,IF('Pollas Fase de Grupos'!AY27&gt;'Pollas Fase de Grupos'!AX27,'Pollas Fase de Grupos'!$AY$2,"EMPATE"))</f>
        <v>Dinamarca</v>
      </c>
      <c r="AW27" s="85">
        <f>PUNTAJE_GANADORES('Pollas Fase de Grupos'!AX27,'Resultados Oficiales Fase de Gr'!$D$32,'Pollas Fase de Grupos'!AY27,'Resultados Oficiales Fase de Gr'!$E$32,AV27,'Resultados Oficiales Fase de Gr'!$G$32)</f>
        <v>1</v>
      </c>
      <c r="AX27" s="85" t="str">
        <f>IF('Pollas Fase de Grupos'!AZ27&gt;'Pollas Fase de Grupos'!BA27,'Pollas Fase de Grupos'!$AZ$2,IF('Pollas Fase de Grupos'!BA27&gt;'Pollas Fase de Grupos'!AZ27,'Pollas Fase de Grupos'!$BA$2,"EMPATE"))</f>
        <v>España</v>
      </c>
      <c r="AY27" s="85">
        <f>PUNTAJE_GANADORES('Pollas Fase de Grupos'!AZ27,'Resultados Oficiales Fase de Gr'!$D$35,'Pollas Fase de Grupos'!BA27,'Resultados Oficiales Fase de Gr'!$E$35,AX27,'Resultados Oficiales Fase de Gr'!$G$35)</f>
        <v>1</v>
      </c>
      <c r="AZ27" s="85" t="str">
        <f>IF('Pollas Fase de Grupos'!BB27&gt;'Pollas Fase de Grupos'!BC27,'Pollas Fase de Grupos'!$BB$2,IF('Pollas Fase de Grupos'!BC27&gt;'Pollas Fase de Grupos'!BB27,'Pollas Fase de Grupos'!$BC$2,"EMPATE"))</f>
        <v>Alemania</v>
      </c>
      <c r="BA27" s="85">
        <f>PUNTAJE_GANADORES('Pollas Fase de Grupos'!BB27,'Resultados Oficiales Fase de Gr'!$D$36,'Pollas Fase de Grupos'!BC27,'Resultados Oficiales Fase de Gr'!$E$36,AZ27,'Resultados Oficiales Fase de Gr'!$G$36)</f>
        <v>0</v>
      </c>
      <c r="BB27" s="85" t="str">
        <f>IF('Pollas Fase de Grupos'!BD27&gt;'Pollas Fase de Grupos'!BE27,'Pollas Fase de Grupos'!$BD$2,IF('Pollas Fase de Grupos'!BE27&gt;'Pollas Fase de Grupos'!BD27,'Pollas Fase de Grupos'!$BE$2,"EMPATE"))</f>
        <v>EMPATE</v>
      </c>
      <c r="BC27" s="85">
        <f>PUNTAJE_GANADORES('Pollas Fase de Grupos'!BD27,'Resultados Oficiales Fase de Gr'!$D$37,'Pollas Fase de Grupos'!BE27,'Resultados Oficiales Fase de Gr'!$E$37,BB27,'Resultados Oficiales Fase de Gr'!$G$37)</f>
        <v>5</v>
      </c>
      <c r="BD27" s="85" t="str">
        <f>IF('Pollas Fase de Grupos'!BF27&gt;'Pollas Fase de Grupos'!BG27,'Pollas Fase de Grupos'!$BF$2,IF('Pollas Fase de Grupos'!BG27&gt;'Pollas Fase de Grupos'!BF27,'Pollas Fase de Grupos'!$BG$2,"EMPATE"))</f>
        <v>Japon</v>
      </c>
      <c r="BE27" s="85">
        <f>PUNTAJE_GANADORES('Pollas Fase de Grupos'!BF27,'Resultados Oficiales Fase de Gr'!$D$38,'Pollas Fase de Grupos'!BG27,'Resultados Oficiales Fase de Gr'!$E$38,BD27,'Resultados Oficiales Fase de Gr'!$G$38)</f>
        <v>1</v>
      </c>
      <c r="BF27" s="85" t="str">
        <f>IF('Pollas Fase de Grupos'!BH27&gt;'Pollas Fase de Grupos'!BI27,'Pollas Fase de Grupos'!$BH$2,IF('Pollas Fase de Grupos'!BI27&gt;'Pollas Fase de Grupos'!BH27,'Pollas Fase de Grupos'!$BI$2,"EMPATE"))</f>
        <v>España</v>
      </c>
      <c r="BG27" s="85">
        <f>PUNTAJE_GANADORES('Pollas Fase de Grupos'!BH27,'Resultados Oficiales Fase de Gr'!$D$39,'Pollas Fase de Grupos'!BI27,'Resultados Oficiales Fase de Gr'!$E$39,BF27,'Resultados Oficiales Fase de Gr'!$G$39)</f>
        <v>0</v>
      </c>
      <c r="BH27" s="85" t="str">
        <f>IF('Pollas Fase de Grupos'!BJ27&gt;'Pollas Fase de Grupos'!BK27,'Pollas Fase de Grupos'!$BJ$2,IF('Pollas Fase de Grupos'!BK27&gt;'Pollas Fase de Grupos'!BJ27,'Pollas Fase de Grupos'!$BK$2,"EMPATE"))</f>
        <v>Alemania</v>
      </c>
      <c r="BI27" s="85">
        <f>PUNTAJE_GANADORES('Pollas Fase de Grupos'!BJ27,'Resultados Oficiales Fase de Gr'!$D$40,'Pollas Fase de Grupos'!BK27,'Resultados Oficiales Fase de Gr'!$E$40,BH27,'Resultados Oficiales Fase de Gr'!$G$40)</f>
        <v>2</v>
      </c>
      <c r="BJ27" s="85" t="str">
        <f>IF('Pollas Fase de Grupos'!BL27&gt;'Pollas Fase de Grupos'!BM27,'Pollas Fase de Grupos'!$BL$2,IF('Pollas Fase de Grupos'!BM27&gt;'Pollas Fase de Grupos'!BL27,'Pollas Fase de Grupos'!$BM$2,"EMPATE"))</f>
        <v>Belgica</v>
      </c>
      <c r="BK27" s="85">
        <f>PUNTAJE_GANADORES('Pollas Fase de Grupos'!BL27,'Resultados Oficiales Fase de Gr'!$D$43,'Pollas Fase de Grupos'!BM27,'Resultados Oficiales Fase de Gr'!$E$43,BJ27,'Resultados Oficiales Fase de Gr'!$G$43)</f>
        <v>3</v>
      </c>
      <c r="BL27" s="85" t="str">
        <f>IF('Pollas Fase de Grupos'!BN27&gt;'Pollas Fase de Grupos'!BO27,'Pollas Fase de Grupos'!$BN$2,IF('Pollas Fase de Grupos'!BO27&gt;'Pollas Fase de Grupos'!BN27,'Pollas Fase de Grupos'!$BO$2,"EMPATE"))</f>
        <v>Croacia</v>
      </c>
      <c r="BM27" s="85">
        <f>PUNTAJE_GANADORES('Pollas Fase de Grupos'!BN27,'Resultados Oficiales Fase de Gr'!$D$44,'Pollas Fase de Grupos'!BO27,'Resultados Oficiales Fase de Gr'!$E$44,BL27,'Resultados Oficiales Fase de Gr'!$G$44)</f>
        <v>1</v>
      </c>
      <c r="BN27" s="85" t="str">
        <f>IF('Pollas Fase de Grupos'!BP27&gt;'Pollas Fase de Grupos'!BQ27,'Pollas Fase de Grupos'!$BP$2,IF('Pollas Fase de Grupos'!BQ27&gt;'Pollas Fase de Grupos'!BP27,'Pollas Fase de Grupos'!$BQ$2,"EMPATE"))</f>
        <v>Belgica</v>
      </c>
      <c r="BO27" s="85">
        <f>PUNTAJE_GANADORES('Pollas Fase de Grupos'!BP27,'Resultados Oficiales Fase de Gr'!$D$45,'Pollas Fase de Grupos'!BQ27,'Resultados Oficiales Fase de Gr'!$E$45,BN27,'Resultados Oficiales Fase de Gr'!$G$45)</f>
        <v>0</v>
      </c>
      <c r="BP27" s="85" t="str">
        <f>IF('Pollas Fase de Grupos'!BR27&gt;'Pollas Fase de Grupos'!BS27,'Pollas Fase de Grupos'!$BR$2,IF('Pollas Fase de Grupos'!BS27&gt;'Pollas Fase de Grupos'!BR27,'Pollas Fase de Grupos'!$BS$2,"EMPATE"))</f>
        <v>Croacia</v>
      </c>
      <c r="BQ27" s="85">
        <f>PUNTAJE_GANADORES('Pollas Fase de Grupos'!BR27,'Resultados Oficiales Fase de Gr'!$D$46,'Pollas Fase de Grupos'!BS27,'Resultados Oficiales Fase de Gr'!$E$46,BP27,'Resultados Oficiales Fase de Gr'!$G$46)</f>
        <v>2</v>
      </c>
      <c r="BR27" s="85" t="str">
        <f>IF('Pollas Fase de Grupos'!BT27&gt;'Pollas Fase de Grupos'!BU27,'Pollas Fase de Grupos'!$BT$2,IF('Pollas Fase de Grupos'!BU27&gt;'Pollas Fase de Grupos'!BT27,'Pollas Fase de Grupos'!$BU$2,"EMPATE"))</f>
        <v>Belgica</v>
      </c>
      <c r="BS27" s="85">
        <f>PUNTAJE_GANADORES('Pollas Fase de Grupos'!BT27,'Resultados Oficiales Fase de Gr'!$D$47,'Pollas Fase de Grupos'!BU27,'Resultados Oficiales Fase de Gr'!$E$47,BR27,'Resultados Oficiales Fase de Gr'!$G$47)</f>
        <v>0</v>
      </c>
      <c r="BT27" s="85" t="str">
        <f>IF('Pollas Fase de Grupos'!BV27&gt;'Pollas Fase de Grupos'!BW27,'Pollas Fase de Grupos'!$BV$2,IF('Pollas Fase de Grupos'!BW27&gt;'Pollas Fase de Grupos'!BV27,'Pollas Fase de Grupos'!$BW$2,"EMPATE"))</f>
        <v>EMPATE</v>
      </c>
      <c r="BU27" s="85">
        <f>PUNTAJE_GANADORES('Pollas Fase de Grupos'!BV27,'Resultados Oficiales Fase de Gr'!$D$48,'Pollas Fase de Grupos'!BW27,'Resultados Oficiales Fase de Gr'!$E$48,BT27,'Resultados Oficiales Fase de Gr'!$G$48)</f>
        <v>0</v>
      </c>
      <c r="BV27" s="85" t="str">
        <f>IF('Pollas Fase de Grupos'!BX27&gt;'Pollas Fase de Grupos'!BY27,'Pollas Fase de Grupos'!$BX$2,IF('Pollas Fase de Grupos'!BY27&gt;'Pollas Fase de Grupos'!BX27,'Pollas Fase de Grupos'!$BY$2,"EMPATE"))</f>
        <v>Brasil</v>
      </c>
      <c r="BW27" s="85">
        <f>PUNTAJE_GANADORES('Pollas Fase de Grupos'!BX27,'Resultados Oficiales Fase de Gr'!$D$51,'Pollas Fase de Grupos'!BY27,'Resultados Oficiales Fase de Gr'!$E$51,BV27,'Resultados Oficiales Fase de Gr'!$G$51)</f>
        <v>2</v>
      </c>
      <c r="BX27" s="85" t="str">
        <f>IF('Pollas Fase de Grupos'!BZ27&gt;'Pollas Fase de Grupos'!CA27,'Pollas Fase de Grupos'!$BZ$2,IF('Pollas Fase de Grupos'!CA27&gt;'Pollas Fase de Grupos'!BZ27,'Pollas Fase de Grupos'!$CA$2,"EMPATE"))</f>
        <v>Suiza</v>
      </c>
      <c r="BY27" s="85">
        <f>PUNTAJE_GANADORES('Pollas Fase de Grupos'!BZ27,'Resultados Oficiales Fase de Gr'!$D$52,'Pollas Fase de Grupos'!CA27,'Resultados Oficiales Fase de Gr'!$E$52,BX27,'Resultados Oficiales Fase de Gr'!$G$52)</f>
        <v>3</v>
      </c>
      <c r="BZ27" s="85" t="str">
        <f>IF('Pollas Fase de Grupos'!CB27&gt;'Pollas Fase de Grupos'!CC27,'Pollas Fase de Grupos'!$CB$2,IF('Pollas Fase de Grupos'!CC27&gt;'Pollas Fase de Grupos'!CB27,'Pollas Fase de Grupos'!$CC$2,"EMPATE"))</f>
        <v>Brasil</v>
      </c>
      <c r="CA27" s="85">
        <f>PUNTAJE_GANADORES('Pollas Fase de Grupos'!CB27,'Resultados Oficiales Fase de Gr'!$D$53,'Pollas Fase de Grupos'!CC27,'Resultados Oficiales Fase de Gr'!$E$53,BZ27,'Resultados Oficiales Fase de Gr'!$G$53)</f>
        <v>3</v>
      </c>
      <c r="CB27" s="85" t="str">
        <f>IF('Pollas Fase de Grupos'!CD27&gt;'Pollas Fase de Grupos'!CE27,'Pollas Fase de Grupos'!$CD$2,IF('Pollas Fase de Grupos'!CE27&gt;'Pollas Fase de Grupos'!CD27,'Pollas Fase de Grupos'!$CE$2,"EMPATE"))</f>
        <v>Serbia</v>
      </c>
      <c r="CC27" s="85">
        <f>PUNTAJE_GANADORES('Pollas Fase de Grupos'!CD27,'Resultados Oficiales Fase de Gr'!$D$54,'Pollas Fase de Grupos'!CE27,'Resultados Oficiales Fase de Gr'!$E$54,CB27,'Resultados Oficiales Fase de Gr'!$G$54)</f>
        <v>0</v>
      </c>
      <c r="CD27" s="85" t="str">
        <f>IF('Pollas Fase de Grupos'!CF27&gt;'Pollas Fase de Grupos'!CG27,'Pollas Fase de Grupos'!$CF$2,IF('Pollas Fase de Grupos'!CG27&gt;'Pollas Fase de Grupos'!CF27,'Pollas Fase de Grupos'!$CG$2,"EMPATE"))</f>
        <v>Brasil</v>
      </c>
      <c r="CE27" s="85">
        <f>PUNTAJE_GANADORES('Pollas Fase de Grupos'!CF27,'Resultados Oficiales Fase de Gr'!$D$55,'Pollas Fase de Grupos'!CG27,'Resultados Oficiales Fase de Gr'!$E$55,CD27,'Resultados Oficiales Fase de Gr'!$G$55)</f>
        <v>1</v>
      </c>
      <c r="CF27" s="85" t="str">
        <f>IF('Pollas Fase de Grupos'!CH27&gt;'Pollas Fase de Grupos'!CI27,'Pollas Fase de Grupos'!$CH$2,IF('Pollas Fase de Grupos'!CI27&gt;'Pollas Fase de Grupos'!CH27,'Pollas Fase de Grupos'!$CI$2,"EMPATE"))</f>
        <v>Suiza</v>
      </c>
      <c r="CG27" s="85">
        <f>PUNTAJE_GANADORES('Pollas Fase de Grupos'!CH27,'Resultados Oficiales Fase de Gr'!$D$56,'Pollas Fase de Grupos'!CI27,'Resultados Oficiales Fase de Gr'!$E$56,CF27,'Resultados Oficiales Fase de Gr'!$G$56)</f>
        <v>2</v>
      </c>
      <c r="CH27" s="85" t="str">
        <f>IF('Pollas Fase de Grupos'!CJ27&gt;'Pollas Fase de Grupos'!CK27,'Pollas Fase de Grupos'!$CJ$2,IF('Pollas Fase de Grupos'!CK27&gt;'Pollas Fase de Grupos'!CJ27,'Pollas Fase de Grupos'!$CK$2,"EMPATE"))</f>
        <v>Portugal</v>
      </c>
      <c r="CI27" s="85">
        <f>PUNTAJE_GANADORES('Pollas Fase de Grupos'!CJ27,'Resultados Oficiales Fase de Gr'!$D$59,'Pollas Fase de Grupos'!CK27,'Resultados Oficiales Fase de Gr'!$E$59,CH27,'Resultados Oficiales Fase de Gr'!$G$59)</f>
        <v>2</v>
      </c>
      <c r="CJ27" s="85" t="str">
        <f>IF('Pollas Fase de Grupos'!CL27&gt;'Pollas Fase de Grupos'!CM27,'Pollas Fase de Grupos'!$CL$2,IF('Pollas Fase de Grupos'!CM27&gt;'Pollas Fase de Grupos'!CL27,'Pollas Fase de Grupos'!$CM$2,"EMPATE"))</f>
        <v>Uruguay</v>
      </c>
      <c r="CK27" s="85">
        <f>PUNTAJE_GANADORES('Pollas Fase de Grupos'!CL27,'Resultados Oficiales Fase de Gr'!$D$60,'Pollas Fase de Grupos'!CM27,'Resultados Oficiales Fase de Gr'!$E$60,CJ27,'Resultados Oficiales Fase de Gr'!$G$60)</f>
        <v>1</v>
      </c>
      <c r="CL27" s="85" t="str">
        <f>IF('Pollas Fase de Grupos'!CN27&gt;'Pollas Fase de Grupos'!CO27,'Pollas Fase de Grupos'!$CN$2,IF('Pollas Fase de Grupos'!CO27&gt;'Pollas Fase de Grupos'!CN27,'Pollas Fase de Grupos'!$CO$2,"EMPATE"))</f>
        <v>Uruguay</v>
      </c>
      <c r="CM27" s="85">
        <f>PUNTAJE_GANADORES('Pollas Fase de Grupos'!CN27,'Resultados Oficiales Fase de Gr'!$D$61,'Pollas Fase de Grupos'!CO27,'Resultados Oficiales Fase de Gr'!$E$61,CL27,'Resultados Oficiales Fase de Gr'!$G$61)</f>
        <v>0</v>
      </c>
      <c r="CN27" s="85" t="str">
        <f>IF('Pollas Fase de Grupos'!CP27&gt;'Pollas Fase de Grupos'!CQ27,'Pollas Fase de Grupos'!$CP$2,IF('Pollas Fase de Grupos'!CQ27&gt;'Pollas Fase de Grupos'!CP27,'Pollas Fase de Grupos'!$CQ$2,"EMPATE"))</f>
        <v>Ghana</v>
      </c>
      <c r="CO27" s="85">
        <f>PUNTAJE_GANADORES('Pollas Fase de Grupos'!CP27,'Resultados Oficiales Fase de Gr'!$D$62,'Pollas Fase de Grupos'!CQ27,'Resultados Oficiales Fase de Gr'!$E$62,CN27,'Resultados Oficiales Fase de Gr'!$G$62)</f>
        <v>2</v>
      </c>
      <c r="CP27" s="85" t="str">
        <f>IF('Pollas Fase de Grupos'!CR27&gt;'Pollas Fase de Grupos'!CS27,'Pollas Fase de Grupos'!$CR$2,IF('Pollas Fase de Grupos'!CS27&gt;'Pollas Fase de Grupos'!CR27,'Pollas Fase de Grupos'!$CS$2,"EMPATE"))</f>
        <v>Portugal</v>
      </c>
      <c r="CQ27" s="85">
        <f>PUNTAJE_GANADORES('Pollas Fase de Grupos'!CR27,'Resultados Oficiales Fase de Gr'!$D$63,'Pollas Fase de Grupos'!CS27,'Resultados Oficiales Fase de Gr'!$E$63,CP27,'Resultados Oficiales Fase de Gr'!$G$63)</f>
        <v>0</v>
      </c>
      <c r="CR27" s="85" t="str">
        <f>IF('Pollas Fase de Grupos'!CT27&gt;'Pollas Fase de Grupos'!CU27,'Pollas Fase de Grupos'!$CT$2,IF('Pollas Fase de Grupos'!CU27&gt;'Pollas Fase de Grupos'!CT27,'Pollas Fase de Grupos'!$CU$2,"EMPATE"))</f>
        <v>Uruguay</v>
      </c>
      <c r="CS27" s="85">
        <f>PUNTAJE_GANADORES('Pollas Fase de Grupos'!CT27,'Resultados Oficiales Fase de Gr'!$D$64,'Pollas Fase de Grupos'!CU27,'Resultados Oficiales Fase de Gr'!$E$64,CR27,'Resultados Oficiales Fase de Gr'!$G$64)</f>
        <v>5</v>
      </c>
      <c r="CT27" s="4">
        <f t="shared" si="1"/>
        <v>81</v>
      </c>
      <c r="CU27" s="17">
        <v>57.0</v>
      </c>
      <c r="CV27" s="3">
        <f t="shared" si="2"/>
        <v>84</v>
      </c>
    </row>
    <row r="28">
      <c r="A28" s="3" t="str">
        <f>'Pollas Fase de Grupos'!CV28</f>
        <v>Ana Maria Corpas</v>
      </c>
      <c r="B28" s="4" t="str">
        <f>IF('Pollas Fase de Grupos'!D28&gt;'Pollas Fase de Grupos'!E28,'Pollas Fase de Grupos'!$D$2,IF('Pollas Fase de Grupos'!E28&gt;'Pollas Fase de Grupos'!D28,'Pollas Fase de Grupos'!$E$2,"EMPATE"))</f>
        <v>Ecuador</v>
      </c>
      <c r="C28" s="4">
        <f>PUNTAJE_GANADORES('Pollas Fase de Grupos'!D28,'Resultados Oficiales Fase de Gr'!$D$3,'Pollas Fase de Grupos'!E28,'Resultados Oficiales Fase de Gr'!$E$3,B28,'Resultados Oficiales Fase de Gr'!$G$3)</f>
        <v>3</v>
      </c>
      <c r="D28" s="85" t="str">
        <f>IF('Pollas Fase de Grupos'!F28&gt;'Pollas Fase de Grupos'!G28,'Pollas Fase de Grupos'!$F$2,IF('Pollas Fase de Grupos'!G28&gt;'Pollas Fase de Grupos'!F28,'Pollas Fase de Grupos'!$G$2,"EMPATE"))</f>
        <v>Paises Bajos</v>
      </c>
      <c r="E28" s="4">
        <f>PUNTAJE_GANADORES('Pollas Fase de Grupos'!F28,'Resultados Oficiales Fase de Gr'!$D$4,'Pollas Fase de Grupos'!G28,'Resultados Oficiales Fase de Gr'!$E$4,D28,'Resultados Oficiales Fase de Gr'!$G$4)</f>
        <v>5</v>
      </c>
      <c r="F28" s="85" t="str">
        <f>IF('Pollas Fase de Grupos'!H28&gt;'Pollas Fase de Grupos'!I28,'Pollas Fase de Grupos'!$H$2,IF('Pollas Fase de Grupos'!I28&gt;'Pollas Fase de Grupos'!H28,'Pollas Fase de Grupos'!$I$2,"EMPATE"))</f>
        <v>Qatar</v>
      </c>
      <c r="G28" s="4">
        <f>PUNTAJE_GANADORES('Pollas Fase de Grupos'!H28,'Resultados Oficiales Fase de Gr'!$D$5,'Pollas Fase de Grupos'!I28,'Resultados Oficiales Fase de Gr'!$E$5,F28,'Resultados Oficiales Fase de Gr'!$G$5)</f>
        <v>0</v>
      </c>
      <c r="H28" s="85" t="str">
        <f>IF('Pollas Fase de Grupos'!J28&gt;'Pollas Fase de Grupos'!K28,'Pollas Fase de Grupos'!$J$2,IF('Pollas Fase de Grupos'!K28&gt;'Pollas Fase de Grupos'!J28,'Pollas Fase de Grupos'!$K$2,"EMPATE"))</f>
        <v>EMPATE</v>
      </c>
      <c r="I28" s="4">
        <f>PUNTAJE_GANADORES('Pollas Fase de Grupos'!J28,'Resultados Oficiales Fase de Gr'!$D$6,'Pollas Fase de Grupos'!K28,'Resultados Oficiales Fase de Gr'!$E$6,H28,'Resultados Oficiales Fase de Gr'!$G$6)</f>
        <v>5</v>
      </c>
      <c r="J28" s="85" t="str">
        <f>IF('Pollas Fase de Grupos'!L28&gt;'Pollas Fase de Grupos'!M28,'Pollas Fase de Grupos'!$L$2,IF('Pollas Fase de Grupos'!M28&gt;'Pollas Fase de Grupos'!L28,'Pollas Fase de Grupos'!$M$2,"EMPATE"))</f>
        <v>Paises Bajos</v>
      </c>
      <c r="K28" s="4">
        <f>PUNTAJE_GANADORES('Pollas Fase de Grupos'!L28,'Resultados Oficiales Fase de Gr'!$D$7,'Pollas Fase de Grupos'!M28,'Resultados Oficiales Fase de Gr'!$E$7,J28,'Resultados Oficiales Fase de Gr'!$G$7)</f>
        <v>5</v>
      </c>
      <c r="L28" s="85" t="str">
        <f>IF('Pollas Fase de Grupos'!N28&gt;'Pollas Fase de Grupos'!O28,'Pollas Fase de Grupos'!$N$2,IF('Pollas Fase de Grupos'!O28&gt;'Pollas Fase de Grupos'!N28,'Pollas Fase de Grupos'!$O$2,"EMPATE"))</f>
        <v>Ecuador</v>
      </c>
      <c r="M28" s="85">
        <f>PUNTAJE_GANADORES('Pollas Fase de Grupos'!N28,'Resultados Oficiales Fase de Gr'!$D$8,'Pollas Fase de Grupos'!O28,'Resultados Oficiales Fase de Gr'!$E$8,L28,'Resultados Oficiales Fase de Gr'!$G$8)</f>
        <v>1</v>
      </c>
      <c r="N28" s="85" t="str">
        <f>IF('Pollas Fase de Grupos'!P28&gt;'Pollas Fase de Grupos'!Q28,'Pollas Fase de Grupos'!$P$2,IF('Pollas Fase de Grupos'!Q28&gt;'Pollas Fase de Grupos'!P28,'Pollas Fase de Grupos'!$Q$2,"EMPATE"))</f>
        <v>Inglaterra</v>
      </c>
      <c r="O28" s="85">
        <f>PUNTAJE_GANADORES('Pollas Fase de Grupos'!P28,'Resultados Oficiales Fase de Gr'!$D$11,'Pollas Fase de Grupos'!Q28,'Resultados Oficiales Fase de Gr'!$E$11,N28,'Resultados Oficiales Fase de Gr'!$G$11)</f>
        <v>2</v>
      </c>
      <c r="P28" s="4" t="str">
        <f>IF('Pollas Fase de Grupos'!R28&gt;'Pollas Fase de Grupos'!S28,'Pollas Fase de Grupos'!$R$2,IF('Pollas Fase de Grupos'!S28&gt;'Pollas Fase de Grupos'!R28,'Pollas Fase de Grupos'!$S$2,"EMPATE"))</f>
        <v>Gales</v>
      </c>
      <c r="Q28" s="85">
        <f>PUNTAJE_GANADORES('Pollas Fase de Grupos'!R28,'Resultados Oficiales Fase de Gr'!$D$12,'Pollas Fase de Grupos'!S28,'Resultados Oficiales Fase de Gr'!$E$12,P28,'Resultados Oficiales Fase de Gr'!$G$12)</f>
        <v>0</v>
      </c>
      <c r="R28" s="85" t="str">
        <f>IF('Pollas Fase de Grupos'!T28&gt;'Pollas Fase de Grupos'!U28,'Pollas Fase de Grupos'!$T$2,IF('Pollas Fase de Grupos'!U28&gt;'Pollas Fase de Grupos'!T28,'Pollas Fase de Grupos'!$U$2,"EMPATE"))</f>
        <v>Inglaterra</v>
      </c>
      <c r="S28" s="4">
        <f>PUNTAJE_GANADORES('Pollas Fase de Grupos'!T28,'Resultados Oficiales Fase de Gr'!$D$13,'Pollas Fase de Grupos'!U28,'Resultados Oficiales Fase de Gr'!$E$13,R28,'Resultados Oficiales Fase de Gr'!$G$13)</f>
        <v>0</v>
      </c>
      <c r="T28" s="85" t="str">
        <f>IF('Pollas Fase de Grupos'!V28&gt;'Pollas Fase de Grupos'!W28,'Pollas Fase de Grupos'!$V$2,IF('Pollas Fase de Grupos'!W28&gt;'Pollas Fase de Grupos'!V28,'Pollas Fase de Grupos'!$W$2,"EMPATE"))</f>
        <v>Gales</v>
      </c>
      <c r="U28" s="86">
        <f>PUNTAJE_GANADORES('Pollas Fase de Grupos'!V28,'Resultados Oficiales Fase de Gr'!$D$14,'Pollas Fase de Grupos'!W28,'Resultados Oficiales Fase de Gr'!$E$14,T28,'Resultados Oficiales Fase de Gr'!$G$14)</f>
        <v>0</v>
      </c>
      <c r="V28" s="85" t="str">
        <f>IF('Pollas Fase de Grupos'!X28&gt;'Pollas Fase de Grupos'!Y28,'Pollas Fase de Grupos'!$X$2,IF('Pollas Fase de Grupos'!Y28&gt;'Pollas Fase de Grupos'!X28,'Pollas Fase de Grupos'!$Y$2,"EMPATE"))</f>
        <v>EMPATE</v>
      </c>
      <c r="W28" s="85">
        <f>PUNTAJE_GANADORES('Pollas Fase de Grupos'!X28,'Resultados Oficiales Fase de Gr'!$D$15,'Pollas Fase de Grupos'!Y28,'Resultados Oficiales Fase de Gr'!$E$15,V28,'Resultados Oficiales Fase de Gr'!$G$15)</f>
        <v>0</v>
      </c>
      <c r="X28" s="85" t="str">
        <f>IF('Pollas Fase de Grupos'!Z28&gt;'Pollas Fase de Grupos'!AA28,'Pollas Fase de Grupos'!$Z$2,IF('Pollas Fase de Grupos'!AA28&gt;'Pollas Fase de Grupos'!Z28,'Pollas Fase de Grupos'!$AA$2,"EMPATE"))</f>
        <v>Estados Unidos</v>
      </c>
      <c r="Y28" s="87">
        <f>PUNTAJE_GANADORES('Pollas Fase de Grupos'!Z28,'Resultados Oficiales Fase de Gr'!$D$16,'Pollas Fase de Grupos'!AA28,'Resultados Oficiales Fase de Gr'!$E$16,X28,'Resultados Oficiales Fase de Gr'!$G$16)</f>
        <v>2</v>
      </c>
      <c r="Z28" s="85" t="str">
        <f>IF('Pollas Fase de Grupos'!AB28&gt;'Pollas Fase de Grupos'!AC28,'Pollas Fase de Grupos'!$AB$2,IF('Pollas Fase de Grupos'!AC28&gt;'Pollas Fase de Grupos'!AB28,'Pollas Fase de Grupos'!$AC$2,"EMPATE"))</f>
        <v>Argentina</v>
      </c>
      <c r="AA28" s="85">
        <f>PUNTAJE_GANADORES('Pollas Fase de Grupos'!AB28,'Resultados Oficiales Fase de Gr'!$D$19,'Pollas Fase de Grupos'!AC28,'Resultados Oficiales Fase de Gr'!$E$19,Z28,'Resultados Oficiales Fase de Gr'!$G$19)</f>
        <v>0</v>
      </c>
      <c r="AB28" s="85" t="str">
        <f>IF('Pollas Fase de Grupos'!AD28&gt;'Pollas Fase de Grupos'!AE28,'Pollas Fase de Grupos'!$AD$2,IF('Pollas Fase de Grupos'!AE28&gt;'Pollas Fase de Grupos'!AD28,'Pollas Fase de Grupos'!$AE$2,"EMPATE"))</f>
        <v>EMPATE</v>
      </c>
      <c r="AC28" s="85">
        <f>PUNTAJE_GANADORES('Pollas Fase de Grupos'!AD28,'Resultados Oficiales Fase de Gr'!$D$20,'Pollas Fase de Grupos'!AE28,'Resultados Oficiales Fase de Gr'!$E$20,AB28,'Resultados Oficiales Fase de Gr'!$G$20)</f>
        <v>1</v>
      </c>
      <c r="AD28" s="85" t="str">
        <f>IF('Pollas Fase de Grupos'!AF28&gt;'Pollas Fase de Grupos'!AG28,'Pollas Fase de Grupos'!$AF$2,IF('Pollas Fase de Grupos'!AG28&gt;'Pollas Fase de Grupos'!AF28,'Pollas Fase de Grupos'!$AG$2,"EMPATE"))</f>
        <v>Argentina</v>
      </c>
      <c r="AE28" s="85">
        <f>PUNTAJE_GANADORES('Pollas Fase de Grupos'!AF28,'Resultados Oficiales Fase de Gr'!$D$21,'Pollas Fase de Grupos'!AG28,'Resultados Oficiales Fase de Gr'!$E$21,AD28,'Resultados Oficiales Fase de Gr'!$G$21)</f>
        <v>3</v>
      </c>
      <c r="AF28" s="85" t="str">
        <f>IF('Pollas Fase de Grupos'!AH28&gt;'Pollas Fase de Grupos'!AI28,'Pollas Fase de Grupos'!$AH$2,IF('Pollas Fase de Grupos'!AI28&gt;'Pollas Fase de Grupos'!AH28,'Pollas Fase de Grupos'!$AI$2,"EMPATE"))</f>
        <v>Polonia</v>
      </c>
      <c r="AG28" s="85">
        <f>PUNTAJE_GANADORES('Pollas Fase de Grupos'!AH28,'Resultados Oficiales Fase de Gr'!$D$22,'Pollas Fase de Grupos'!AI28,'Resultados Oficiales Fase de Gr'!$E$22,AF28,'Resultados Oficiales Fase de Gr'!$G$22)</f>
        <v>5</v>
      </c>
      <c r="AH28" s="85" t="str">
        <f>IF('Pollas Fase de Grupos'!AJ28&gt;'Pollas Fase de Grupos'!AK28,'Pollas Fase de Grupos'!$AJ$2,IF('Pollas Fase de Grupos'!AK28&gt;'Pollas Fase de Grupos'!AJ28,'Pollas Fase de Grupos'!$AK$2,"EMPATE"))</f>
        <v>EMPATE</v>
      </c>
      <c r="AI28" s="85">
        <f>PUNTAJE_GANADORES('Pollas Fase de Grupos'!AJ28,'Resultados Oficiales Fase de Gr'!$D$23,'Pollas Fase de Grupos'!AK28,'Resultados Oficiales Fase de Gr'!$E$23,AH28,'Resultados Oficiales Fase de Gr'!$G$23)</f>
        <v>1</v>
      </c>
      <c r="AJ28" s="85" t="str">
        <f>IF('Pollas Fase de Grupos'!AL28&gt;'Pollas Fase de Grupos'!AM28,'Pollas Fase de Grupos'!$AL$2,IF('Pollas Fase de Grupos'!AM28&gt;'Pollas Fase de Grupos'!AL28,'Pollas Fase de Grupos'!$AM$2,"EMPATE"))</f>
        <v>Mexico</v>
      </c>
      <c r="AK28" s="85">
        <f>PUNTAJE_GANADORES('Pollas Fase de Grupos'!AL28,'Resultados Oficiales Fase de Gr'!$D$24,'Pollas Fase de Grupos'!AM28,'Resultados Oficiales Fase de Gr'!$E$24,AJ28,'Resultados Oficiales Fase de Gr'!$G$24)</f>
        <v>5</v>
      </c>
      <c r="AL28" s="85" t="str">
        <f>IF('Pollas Fase de Grupos'!AN28&gt;'Pollas Fase de Grupos'!AO28,'Pollas Fase de Grupos'!$AN$2,IF('Pollas Fase de Grupos'!AO28&gt;'Pollas Fase de Grupos'!AN28,'Pollas Fase de Grupos'!$AO$2,"EMPATE"))</f>
        <v>Francia</v>
      </c>
      <c r="AM28" s="85">
        <f>PUNTAJE_GANADORES('Pollas Fase de Grupos'!AN28,'Resultados Oficiales Fase de Gr'!$D$27,'Pollas Fase de Grupos'!AO28,'Resultados Oficiales Fase de Gr'!$E$27,AL28,'Resultados Oficiales Fase de Gr'!$G$27)</f>
        <v>3</v>
      </c>
      <c r="AN28" s="85" t="str">
        <f>IF('Pollas Fase de Grupos'!AP28&gt;'Pollas Fase de Grupos'!AQ28,'Pollas Fase de Grupos'!$AP$2,IF('Pollas Fase de Grupos'!AQ28&gt;'Pollas Fase de Grupos'!AP28,'Pollas Fase de Grupos'!$AQ$2,"EMPATE"))</f>
        <v>Tunez</v>
      </c>
      <c r="AO28" s="85">
        <f>PUNTAJE_GANADORES('Pollas Fase de Grupos'!AP28,'Resultados Oficiales Fase de Gr'!$D$28,'Pollas Fase de Grupos'!AQ28,'Resultados Oficiales Fase de Gr'!$E$28,AN28,'Resultados Oficiales Fase de Gr'!$G$28)</f>
        <v>0</v>
      </c>
      <c r="AP28" s="85" t="str">
        <f>IF('Pollas Fase de Grupos'!AR28&gt;'Pollas Fase de Grupos'!AS28,'Pollas Fase de Grupos'!$AR$2,IF('Pollas Fase de Grupos'!AS28&gt;'Pollas Fase de Grupos'!AR28,'Pollas Fase de Grupos'!$AS$2,"EMPATE"))</f>
        <v>Francia</v>
      </c>
      <c r="AQ28" s="85">
        <f>PUNTAJE_GANADORES('Pollas Fase de Grupos'!AR28,'Resultados Oficiales Fase de Gr'!$D$29,'Pollas Fase de Grupos'!AS28,'Resultados Oficiales Fase de Gr'!$E$29,AP28,'Resultados Oficiales Fase de Gr'!$G$29)</f>
        <v>2</v>
      </c>
      <c r="AR28" s="85" t="str">
        <f>IF('Pollas Fase de Grupos'!AT28&gt;'Pollas Fase de Grupos'!AU28,'Pollas Fase de Grupos'!$AT$2,IF('Pollas Fase de Grupos'!AU28&gt;'Pollas Fase de Grupos'!AT28,'Pollas Fase de Grupos'!$AU$2,"EMPATE"))</f>
        <v>Tunez</v>
      </c>
      <c r="AS28" s="85">
        <f>PUNTAJE_GANADORES('Pollas Fase de Grupos'!AT28,'Resultados Oficiales Fase de Gr'!$D$30,'Pollas Fase de Grupos'!AU28,'Resultados Oficiales Fase de Gr'!$E$30,AR28,'Resultados Oficiales Fase de Gr'!$G$30)</f>
        <v>1</v>
      </c>
      <c r="AT28" s="85" t="str">
        <f>IF('Pollas Fase de Grupos'!AV28&gt;'Pollas Fase de Grupos'!AW28,'Pollas Fase de Grupos'!$AV$2,IF('Pollas Fase de Grupos'!AW28&gt;'Pollas Fase de Grupos'!AV28,'Pollas Fase de Grupos'!$AW$2,"EMPATE"))</f>
        <v>EMPATE</v>
      </c>
      <c r="AU28" s="85">
        <f>PUNTAJE_GANADORES('Pollas Fase de Grupos'!AV28,'Resultados Oficiales Fase de Gr'!$D$31,'Pollas Fase de Grupos'!AW28,'Resultados Oficiales Fase de Gr'!$E$31,AT28,'Resultados Oficiales Fase de Gr'!$G$31)</f>
        <v>1</v>
      </c>
      <c r="AV28" s="85" t="str">
        <f>IF('Pollas Fase de Grupos'!AX28&gt;'Pollas Fase de Grupos'!AY28,'Pollas Fase de Grupos'!$AX$2,IF('Pollas Fase de Grupos'!AY28&gt;'Pollas Fase de Grupos'!AX28,'Pollas Fase de Grupos'!$AY$2,"EMPATE"))</f>
        <v>Australia</v>
      </c>
      <c r="AW28" s="85">
        <f>PUNTAJE_GANADORES('Pollas Fase de Grupos'!AX28,'Resultados Oficiales Fase de Gr'!$D$32,'Pollas Fase de Grupos'!AY28,'Resultados Oficiales Fase de Gr'!$E$32,AV28,'Resultados Oficiales Fase de Gr'!$G$32)</f>
        <v>2</v>
      </c>
      <c r="AX28" s="85" t="str">
        <f>IF('Pollas Fase de Grupos'!AZ28&gt;'Pollas Fase de Grupos'!BA28,'Pollas Fase de Grupos'!$AZ$2,IF('Pollas Fase de Grupos'!BA28&gt;'Pollas Fase de Grupos'!AZ28,'Pollas Fase de Grupos'!$BA$2,"EMPATE"))</f>
        <v>EMPATE</v>
      </c>
      <c r="AY28" s="85">
        <f>PUNTAJE_GANADORES('Pollas Fase de Grupos'!AZ28,'Resultados Oficiales Fase de Gr'!$D$35,'Pollas Fase de Grupos'!BA28,'Resultados Oficiales Fase de Gr'!$E$35,AX28,'Resultados Oficiales Fase de Gr'!$G$35)</f>
        <v>0</v>
      </c>
      <c r="AZ28" s="85" t="str">
        <f>IF('Pollas Fase de Grupos'!BB28&gt;'Pollas Fase de Grupos'!BC28,'Pollas Fase de Grupos'!$BB$2,IF('Pollas Fase de Grupos'!BC28&gt;'Pollas Fase de Grupos'!BB28,'Pollas Fase de Grupos'!$BC$2,"EMPATE"))</f>
        <v>Alemania</v>
      </c>
      <c r="BA28" s="85">
        <f>PUNTAJE_GANADORES('Pollas Fase de Grupos'!BB28,'Resultados Oficiales Fase de Gr'!$D$36,'Pollas Fase de Grupos'!BC28,'Resultados Oficiales Fase de Gr'!$E$36,AZ28,'Resultados Oficiales Fase de Gr'!$G$36)</f>
        <v>0</v>
      </c>
      <c r="BB28" s="85" t="str">
        <f>IF('Pollas Fase de Grupos'!BD28&gt;'Pollas Fase de Grupos'!BE28,'Pollas Fase de Grupos'!$BD$2,IF('Pollas Fase de Grupos'!BE28&gt;'Pollas Fase de Grupos'!BD28,'Pollas Fase de Grupos'!$BE$2,"EMPATE"))</f>
        <v>EMPATE</v>
      </c>
      <c r="BC28" s="85">
        <f>PUNTAJE_GANADORES('Pollas Fase de Grupos'!BD28,'Resultados Oficiales Fase de Gr'!$D$37,'Pollas Fase de Grupos'!BE28,'Resultados Oficiales Fase de Gr'!$E$37,BB28,'Resultados Oficiales Fase de Gr'!$G$37)</f>
        <v>1</v>
      </c>
      <c r="BD28" s="85" t="str">
        <f>IF('Pollas Fase de Grupos'!BF28&gt;'Pollas Fase de Grupos'!BG28,'Pollas Fase de Grupos'!$BF$2,IF('Pollas Fase de Grupos'!BG28&gt;'Pollas Fase de Grupos'!BF28,'Pollas Fase de Grupos'!$BG$2,"EMPATE"))</f>
        <v>Costa Rica</v>
      </c>
      <c r="BE28" s="85">
        <f>PUNTAJE_GANADORES('Pollas Fase de Grupos'!BF28,'Resultados Oficiales Fase de Gr'!$D$38,'Pollas Fase de Grupos'!BG28,'Resultados Oficiales Fase de Gr'!$E$38,BD28,'Resultados Oficiales Fase de Gr'!$G$38)</f>
        <v>5</v>
      </c>
      <c r="BF28" s="85" t="str">
        <f>IF('Pollas Fase de Grupos'!BH28&gt;'Pollas Fase de Grupos'!BI28,'Pollas Fase de Grupos'!$BH$2,IF('Pollas Fase de Grupos'!BI28&gt;'Pollas Fase de Grupos'!BH28,'Pollas Fase de Grupos'!$BI$2,"EMPATE"))</f>
        <v>España</v>
      </c>
      <c r="BG28" s="85">
        <f>PUNTAJE_GANADORES('Pollas Fase de Grupos'!BH28,'Resultados Oficiales Fase de Gr'!$D$39,'Pollas Fase de Grupos'!BI28,'Resultados Oficiales Fase de Gr'!$E$39,BF28,'Resultados Oficiales Fase de Gr'!$G$39)</f>
        <v>0</v>
      </c>
      <c r="BH28" s="85" t="str">
        <f>IF('Pollas Fase de Grupos'!BJ28&gt;'Pollas Fase de Grupos'!BK28,'Pollas Fase de Grupos'!$BJ$2,IF('Pollas Fase de Grupos'!BK28&gt;'Pollas Fase de Grupos'!BJ28,'Pollas Fase de Grupos'!$BK$2,"EMPATE"))</f>
        <v>Alemania</v>
      </c>
      <c r="BI28" s="85">
        <f>PUNTAJE_GANADORES('Pollas Fase de Grupos'!BJ28,'Resultados Oficiales Fase de Gr'!$D$40,'Pollas Fase de Grupos'!BK28,'Resultados Oficiales Fase de Gr'!$E$40,BH28,'Resultados Oficiales Fase de Gr'!$G$40)</f>
        <v>2</v>
      </c>
      <c r="BJ28" s="85" t="str">
        <f>IF('Pollas Fase de Grupos'!BL28&gt;'Pollas Fase de Grupos'!BM28,'Pollas Fase de Grupos'!$BL$2,IF('Pollas Fase de Grupos'!BM28&gt;'Pollas Fase de Grupos'!BL28,'Pollas Fase de Grupos'!$BM$2,"EMPATE"))</f>
        <v>EMPATE</v>
      </c>
      <c r="BK28" s="85">
        <f>PUNTAJE_GANADORES('Pollas Fase de Grupos'!BL28,'Resultados Oficiales Fase de Gr'!$D$43,'Pollas Fase de Grupos'!BM28,'Resultados Oficiales Fase de Gr'!$E$43,BJ28,'Resultados Oficiales Fase de Gr'!$G$43)</f>
        <v>1</v>
      </c>
      <c r="BL28" s="85" t="str">
        <f>IF('Pollas Fase de Grupos'!BN28&gt;'Pollas Fase de Grupos'!BO28,'Pollas Fase de Grupos'!$BN$2,IF('Pollas Fase de Grupos'!BO28&gt;'Pollas Fase de Grupos'!BN28,'Pollas Fase de Grupos'!$BO$2,"EMPATE"))</f>
        <v>Croacia</v>
      </c>
      <c r="BM28" s="85">
        <f>PUNTAJE_GANADORES('Pollas Fase de Grupos'!BN28,'Resultados Oficiales Fase de Gr'!$D$44,'Pollas Fase de Grupos'!BO28,'Resultados Oficiales Fase de Gr'!$E$44,BL28,'Resultados Oficiales Fase de Gr'!$G$44)</f>
        <v>1</v>
      </c>
      <c r="BN28" s="85" t="str">
        <f>IF('Pollas Fase de Grupos'!BP28&gt;'Pollas Fase de Grupos'!BQ28,'Pollas Fase de Grupos'!$BP$2,IF('Pollas Fase de Grupos'!BQ28&gt;'Pollas Fase de Grupos'!BP28,'Pollas Fase de Grupos'!$BQ$2,"EMPATE"))</f>
        <v>Belgica</v>
      </c>
      <c r="BO28" s="85">
        <f>PUNTAJE_GANADORES('Pollas Fase de Grupos'!BP28,'Resultados Oficiales Fase de Gr'!$D$45,'Pollas Fase de Grupos'!BQ28,'Resultados Oficiales Fase de Gr'!$E$45,BN28,'Resultados Oficiales Fase de Gr'!$G$45)</f>
        <v>0</v>
      </c>
      <c r="BP28" s="85" t="str">
        <f>IF('Pollas Fase de Grupos'!BR28&gt;'Pollas Fase de Grupos'!BS28,'Pollas Fase de Grupos'!$BR$2,IF('Pollas Fase de Grupos'!BS28&gt;'Pollas Fase de Grupos'!BR28,'Pollas Fase de Grupos'!$BS$2,"EMPATE"))</f>
        <v>EMPATE</v>
      </c>
      <c r="BQ28" s="85">
        <f>PUNTAJE_GANADORES('Pollas Fase de Grupos'!BR28,'Resultados Oficiales Fase de Gr'!$D$46,'Pollas Fase de Grupos'!BS28,'Resultados Oficiales Fase de Gr'!$E$46,BP28,'Resultados Oficiales Fase de Gr'!$G$46)</f>
        <v>0</v>
      </c>
      <c r="BR28" s="85" t="str">
        <f>IF('Pollas Fase de Grupos'!BT28&gt;'Pollas Fase de Grupos'!BU28,'Pollas Fase de Grupos'!$BT$2,IF('Pollas Fase de Grupos'!BU28&gt;'Pollas Fase de Grupos'!BT28,'Pollas Fase de Grupos'!$BU$2,"EMPATE"))</f>
        <v>Croacia</v>
      </c>
      <c r="BS28" s="85">
        <f>PUNTAJE_GANADORES('Pollas Fase de Grupos'!BT28,'Resultados Oficiales Fase de Gr'!$D$47,'Pollas Fase de Grupos'!BU28,'Resultados Oficiales Fase de Gr'!$E$47,BR28,'Resultados Oficiales Fase de Gr'!$G$47)</f>
        <v>0</v>
      </c>
      <c r="BT28" s="85" t="str">
        <f>IF('Pollas Fase de Grupos'!BV28&gt;'Pollas Fase de Grupos'!BW28,'Pollas Fase de Grupos'!$BV$2,IF('Pollas Fase de Grupos'!BW28&gt;'Pollas Fase de Grupos'!BV28,'Pollas Fase de Grupos'!$BW$2,"EMPATE"))</f>
        <v>Canada</v>
      </c>
      <c r="BU28" s="85">
        <f>PUNTAJE_GANADORES('Pollas Fase de Grupos'!BV28,'Resultados Oficiales Fase de Gr'!$D$48,'Pollas Fase de Grupos'!BW28,'Resultados Oficiales Fase de Gr'!$E$48,BT28,'Resultados Oficiales Fase de Gr'!$G$48)</f>
        <v>0</v>
      </c>
      <c r="BV28" s="85" t="str">
        <f>IF('Pollas Fase de Grupos'!BX28&gt;'Pollas Fase de Grupos'!BY28,'Pollas Fase de Grupos'!$BX$2,IF('Pollas Fase de Grupos'!BY28&gt;'Pollas Fase de Grupos'!BX28,'Pollas Fase de Grupos'!$BY$2,"EMPATE"))</f>
        <v>Brasil</v>
      </c>
      <c r="BW28" s="85">
        <f>PUNTAJE_GANADORES('Pollas Fase de Grupos'!BX28,'Resultados Oficiales Fase de Gr'!$D$51,'Pollas Fase de Grupos'!BY28,'Resultados Oficiales Fase de Gr'!$E$51,BV28,'Resultados Oficiales Fase de Gr'!$G$51)</f>
        <v>3</v>
      </c>
      <c r="BX28" s="85" t="str">
        <f>IF('Pollas Fase de Grupos'!BZ28&gt;'Pollas Fase de Grupos'!CA28,'Pollas Fase de Grupos'!$BZ$2,IF('Pollas Fase de Grupos'!CA28&gt;'Pollas Fase de Grupos'!BZ28,'Pollas Fase de Grupos'!$CA$2,"EMPATE"))</f>
        <v>Suiza</v>
      </c>
      <c r="BY28" s="85">
        <f>PUNTAJE_GANADORES('Pollas Fase de Grupos'!BZ28,'Resultados Oficiales Fase de Gr'!$D$52,'Pollas Fase de Grupos'!CA28,'Resultados Oficiales Fase de Gr'!$E$52,BX28,'Resultados Oficiales Fase de Gr'!$G$52)</f>
        <v>2</v>
      </c>
      <c r="BZ28" s="85" t="str">
        <f>IF('Pollas Fase de Grupos'!CB28&gt;'Pollas Fase de Grupos'!CC28,'Pollas Fase de Grupos'!$CB$2,IF('Pollas Fase de Grupos'!CC28&gt;'Pollas Fase de Grupos'!CB28,'Pollas Fase de Grupos'!$CC$2,"EMPATE"))</f>
        <v>Brasil</v>
      </c>
      <c r="CA28" s="85">
        <f>PUNTAJE_GANADORES('Pollas Fase de Grupos'!CB28,'Resultados Oficiales Fase de Gr'!$D$53,'Pollas Fase de Grupos'!CC28,'Resultados Oficiales Fase de Gr'!$E$53,BZ28,'Resultados Oficiales Fase de Gr'!$G$53)</f>
        <v>5</v>
      </c>
      <c r="CB28" s="85" t="str">
        <f>IF('Pollas Fase de Grupos'!CD28&gt;'Pollas Fase de Grupos'!CE28,'Pollas Fase de Grupos'!$CD$2,IF('Pollas Fase de Grupos'!CE28&gt;'Pollas Fase de Grupos'!CD28,'Pollas Fase de Grupos'!$CE$2,"EMPATE"))</f>
        <v>EMPATE</v>
      </c>
      <c r="CC28" s="85">
        <f>PUNTAJE_GANADORES('Pollas Fase de Grupos'!CD28,'Resultados Oficiales Fase de Gr'!$D$54,'Pollas Fase de Grupos'!CE28,'Resultados Oficiales Fase de Gr'!$E$54,CB28,'Resultados Oficiales Fase de Gr'!$G$54)</f>
        <v>1</v>
      </c>
      <c r="CD28" s="85" t="str">
        <f>IF('Pollas Fase de Grupos'!CF28&gt;'Pollas Fase de Grupos'!CG28,'Pollas Fase de Grupos'!$CF$2,IF('Pollas Fase de Grupos'!CG28&gt;'Pollas Fase de Grupos'!CF28,'Pollas Fase de Grupos'!$CG$2,"EMPATE"))</f>
        <v>Brasil</v>
      </c>
      <c r="CE28" s="85">
        <f>PUNTAJE_GANADORES('Pollas Fase de Grupos'!CF28,'Resultados Oficiales Fase de Gr'!$D$55,'Pollas Fase de Grupos'!CG28,'Resultados Oficiales Fase de Gr'!$E$55,CD28,'Resultados Oficiales Fase de Gr'!$G$55)</f>
        <v>1</v>
      </c>
      <c r="CF28" s="85" t="str">
        <f>IF('Pollas Fase de Grupos'!CH28&gt;'Pollas Fase de Grupos'!CI28,'Pollas Fase de Grupos'!$CH$2,IF('Pollas Fase de Grupos'!CI28&gt;'Pollas Fase de Grupos'!CH28,'Pollas Fase de Grupos'!$CI$2,"EMPATE"))</f>
        <v>Suiza</v>
      </c>
      <c r="CG28" s="85">
        <f>PUNTAJE_GANADORES('Pollas Fase de Grupos'!CH28,'Resultados Oficiales Fase de Gr'!$D$56,'Pollas Fase de Grupos'!CI28,'Resultados Oficiales Fase de Gr'!$E$56,CF28,'Resultados Oficiales Fase de Gr'!$G$56)</f>
        <v>2</v>
      </c>
      <c r="CH28" s="85" t="str">
        <f>IF('Pollas Fase de Grupos'!CJ28&gt;'Pollas Fase de Grupos'!CK28,'Pollas Fase de Grupos'!$CJ$2,IF('Pollas Fase de Grupos'!CK28&gt;'Pollas Fase de Grupos'!CJ28,'Pollas Fase de Grupos'!$CK$2,"EMPATE"))</f>
        <v>Portugal</v>
      </c>
      <c r="CI28" s="85">
        <f>PUNTAJE_GANADORES('Pollas Fase de Grupos'!CJ28,'Resultados Oficiales Fase de Gr'!$D$59,'Pollas Fase de Grupos'!CK28,'Resultados Oficiales Fase de Gr'!$E$59,CH28,'Resultados Oficiales Fase de Gr'!$G$59)</f>
        <v>2</v>
      </c>
      <c r="CJ28" s="85" t="str">
        <f>IF('Pollas Fase de Grupos'!CL28&gt;'Pollas Fase de Grupos'!CM28,'Pollas Fase de Grupos'!$CL$2,IF('Pollas Fase de Grupos'!CM28&gt;'Pollas Fase de Grupos'!CL28,'Pollas Fase de Grupos'!$CM$2,"EMPATE"))</f>
        <v>Uruguay</v>
      </c>
      <c r="CK28" s="85">
        <f>PUNTAJE_GANADORES('Pollas Fase de Grupos'!CL28,'Resultados Oficiales Fase de Gr'!$D$60,'Pollas Fase de Grupos'!CM28,'Resultados Oficiales Fase de Gr'!$E$60,CJ28,'Resultados Oficiales Fase de Gr'!$G$60)</f>
        <v>1</v>
      </c>
      <c r="CL28" s="85" t="str">
        <f>IF('Pollas Fase de Grupos'!CN28&gt;'Pollas Fase de Grupos'!CO28,'Pollas Fase de Grupos'!$CN$2,IF('Pollas Fase de Grupos'!CO28&gt;'Pollas Fase de Grupos'!CN28,'Pollas Fase de Grupos'!$CO$2,"EMPATE"))</f>
        <v>EMPATE</v>
      </c>
      <c r="CM28" s="85">
        <f>PUNTAJE_GANADORES('Pollas Fase de Grupos'!CN28,'Resultados Oficiales Fase de Gr'!$D$61,'Pollas Fase de Grupos'!CO28,'Resultados Oficiales Fase de Gr'!$E$61,CL28,'Resultados Oficiales Fase de Gr'!$G$61)</f>
        <v>0</v>
      </c>
      <c r="CN28" s="85" t="str">
        <f>IF('Pollas Fase de Grupos'!CP28&gt;'Pollas Fase de Grupos'!CQ28,'Pollas Fase de Grupos'!$CP$2,IF('Pollas Fase de Grupos'!CQ28&gt;'Pollas Fase de Grupos'!CP28,'Pollas Fase de Grupos'!$CQ$2,"EMPATE"))</f>
        <v>Ghana</v>
      </c>
      <c r="CO28" s="85">
        <f>PUNTAJE_GANADORES('Pollas Fase de Grupos'!CP28,'Resultados Oficiales Fase de Gr'!$D$62,'Pollas Fase de Grupos'!CQ28,'Resultados Oficiales Fase de Gr'!$E$62,CN28,'Resultados Oficiales Fase de Gr'!$G$62)</f>
        <v>2</v>
      </c>
      <c r="CP28" s="85" t="str">
        <f>IF('Pollas Fase de Grupos'!CR28&gt;'Pollas Fase de Grupos'!CS28,'Pollas Fase de Grupos'!$CR$2,IF('Pollas Fase de Grupos'!CS28&gt;'Pollas Fase de Grupos'!CR28,'Pollas Fase de Grupos'!$CS$2,"EMPATE"))</f>
        <v>Portugal</v>
      </c>
      <c r="CQ28" s="85">
        <f>PUNTAJE_GANADORES('Pollas Fase de Grupos'!CR28,'Resultados Oficiales Fase de Gr'!$D$63,'Pollas Fase de Grupos'!CS28,'Resultados Oficiales Fase de Gr'!$E$63,CP28,'Resultados Oficiales Fase de Gr'!$G$63)</f>
        <v>0</v>
      </c>
      <c r="CR28" s="85" t="str">
        <f>IF('Pollas Fase de Grupos'!CT28&gt;'Pollas Fase de Grupos'!CU28,'Pollas Fase de Grupos'!$CT$2,IF('Pollas Fase de Grupos'!CU28&gt;'Pollas Fase de Grupos'!CT28,'Pollas Fase de Grupos'!$CU$2,"EMPATE"))</f>
        <v>Uruguay</v>
      </c>
      <c r="CS28" s="85">
        <f>PUNTAJE_GANADORES('Pollas Fase de Grupos'!CT28,'Resultados Oficiales Fase de Gr'!$D$64,'Pollas Fase de Grupos'!CU28,'Resultados Oficiales Fase de Gr'!$E$64,CR28,'Resultados Oficiales Fase de Gr'!$G$64)</f>
        <v>3</v>
      </c>
      <c r="CT28" s="4">
        <f t="shared" si="1"/>
        <v>79</v>
      </c>
      <c r="CU28" s="17">
        <v>59.0</v>
      </c>
      <c r="CV28" s="3">
        <f t="shared" si="2"/>
        <v>84</v>
      </c>
    </row>
    <row r="29">
      <c r="A29" s="3" t="str">
        <f>'Pollas Fase de Grupos'!CV29</f>
        <v>Lolita</v>
      </c>
      <c r="B29" s="4" t="str">
        <f>IF('Pollas Fase de Grupos'!D29&gt;'Pollas Fase de Grupos'!E29,'Pollas Fase de Grupos'!$D$2,IF('Pollas Fase de Grupos'!E29&gt;'Pollas Fase de Grupos'!D29,'Pollas Fase de Grupos'!$E$2,"EMPATE"))</f>
        <v>EMPATE</v>
      </c>
      <c r="C29" s="4">
        <f>PUNTAJE_GANADORES('Pollas Fase de Grupos'!D29,'Resultados Oficiales Fase de Gr'!$D$3,'Pollas Fase de Grupos'!E29,'Resultados Oficiales Fase de Gr'!$E$3,B29,'Resultados Oficiales Fase de Gr'!$G$3)</f>
        <v>0</v>
      </c>
      <c r="D29" s="85" t="str">
        <f>IF('Pollas Fase de Grupos'!F29&gt;'Pollas Fase de Grupos'!G29,'Pollas Fase de Grupos'!$F$2,IF('Pollas Fase de Grupos'!G29&gt;'Pollas Fase de Grupos'!F29,'Pollas Fase de Grupos'!$G$2,"EMPATE"))</f>
        <v>Paises Bajos</v>
      </c>
      <c r="E29" s="4">
        <f>PUNTAJE_GANADORES('Pollas Fase de Grupos'!F29,'Resultados Oficiales Fase de Gr'!$D$4,'Pollas Fase de Grupos'!G29,'Resultados Oficiales Fase de Gr'!$E$4,D29,'Resultados Oficiales Fase de Gr'!$G$4)</f>
        <v>3</v>
      </c>
      <c r="F29" s="85" t="str">
        <f>IF('Pollas Fase de Grupos'!H29&gt;'Pollas Fase de Grupos'!I29,'Pollas Fase de Grupos'!$H$2,IF('Pollas Fase de Grupos'!I29&gt;'Pollas Fase de Grupos'!H29,'Pollas Fase de Grupos'!$I$2,"EMPATE"))</f>
        <v>Senegal</v>
      </c>
      <c r="G29" s="4">
        <f>PUNTAJE_GANADORES('Pollas Fase de Grupos'!H29,'Resultados Oficiales Fase de Gr'!$D$5,'Pollas Fase de Grupos'!I29,'Resultados Oficiales Fase de Gr'!$E$5,F29,'Resultados Oficiales Fase de Gr'!$G$5)</f>
        <v>2</v>
      </c>
      <c r="H29" s="85" t="str">
        <f>IF('Pollas Fase de Grupos'!J29&gt;'Pollas Fase de Grupos'!K29,'Pollas Fase de Grupos'!$J$2,IF('Pollas Fase de Grupos'!K29&gt;'Pollas Fase de Grupos'!J29,'Pollas Fase de Grupos'!$K$2,"EMPATE"))</f>
        <v>Paises Bajos</v>
      </c>
      <c r="I29" s="4">
        <f>PUNTAJE_GANADORES('Pollas Fase de Grupos'!J29,'Resultados Oficiales Fase de Gr'!$D$6,'Pollas Fase de Grupos'!K29,'Resultados Oficiales Fase de Gr'!$E$6,H29,'Resultados Oficiales Fase de Gr'!$G$6)</f>
        <v>1</v>
      </c>
      <c r="J29" s="85" t="str">
        <f>IF('Pollas Fase de Grupos'!L29&gt;'Pollas Fase de Grupos'!M29,'Pollas Fase de Grupos'!$L$2,IF('Pollas Fase de Grupos'!M29&gt;'Pollas Fase de Grupos'!L29,'Pollas Fase de Grupos'!$M$2,"EMPATE"))</f>
        <v>Paises Bajos</v>
      </c>
      <c r="K29" s="4">
        <f>PUNTAJE_GANADORES('Pollas Fase de Grupos'!L29,'Resultados Oficiales Fase de Gr'!$D$7,'Pollas Fase de Grupos'!M29,'Resultados Oficiales Fase de Gr'!$E$7,J29,'Resultados Oficiales Fase de Gr'!$G$7)</f>
        <v>3</v>
      </c>
      <c r="L29" s="85" t="str">
        <f>IF('Pollas Fase de Grupos'!N29&gt;'Pollas Fase de Grupos'!O29,'Pollas Fase de Grupos'!$N$2,IF('Pollas Fase de Grupos'!O29&gt;'Pollas Fase de Grupos'!N29,'Pollas Fase de Grupos'!$O$2,"EMPATE"))</f>
        <v>Senegal</v>
      </c>
      <c r="M29" s="85">
        <f>PUNTAJE_GANADORES('Pollas Fase de Grupos'!N29,'Resultados Oficiales Fase de Gr'!$D$8,'Pollas Fase de Grupos'!O29,'Resultados Oficiales Fase de Gr'!$E$8,L29,'Resultados Oficiales Fase de Gr'!$G$8)</f>
        <v>5</v>
      </c>
      <c r="N29" s="85" t="str">
        <f>IF('Pollas Fase de Grupos'!P29&gt;'Pollas Fase de Grupos'!Q29,'Pollas Fase de Grupos'!$P$2,IF('Pollas Fase de Grupos'!Q29&gt;'Pollas Fase de Grupos'!P29,'Pollas Fase de Grupos'!$Q$2,"EMPATE"))</f>
        <v>Inglaterra</v>
      </c>
      <c r="O29" s="85">
        <f>PUNTAJE_GANADORES('Pollas Fase de Grupos'!P29,'Resultados Oficiales Fase de Gr'!$D$11,'Pollas Fase de Grupos'!Q29,'Resultados Oficiales Fase de Gr'!$E$11,N29,'Resultados Oficiales Fase de Gr'!$G$11)</f>
        <v>2</v>
      </c>
      <c r="P29" s="4" t="str">
        <f>IF('Pollas Fase de Grupos'!R29&gt;'Pollas Fase de Grupos'!S29,'Pollas Fase de Grupos'!$R$2,IF('Pollas Fase de Grupos'!S29&gt;'Pollas Fase de Grupos'!R29,'Pollas Fase de Grupos'!$S$2,"EMPATE"))</f>
        <v>EMPATE</v>
      </c>
      <c r="Q29" s="85">
        <f>PUNTAJE_GANADORES('Pollas Fase de Grupos'!R29,'Resultados Oficiales Fase de Gr'!$D$12,'Pollas Fase de Grupos'!S29,'Resultados Oficiales Fase de Gr'!$E$12,P29,'Resultados Oficiales Fase de Gr'!$G$12)</f>
        <v>5</v>
      </c>
      <c r="R29" s="85" t="str">
        <f>IF('Pollas Fase de Grupos'!T29&gt;'Pollas Fase de Grupos'!U29,'Pollas Fase de Grupos'!$T$2,IF('Pollas Fase de Grupos'!U29&gt;'Pollas Fase de Grupos'!T29,'Pollas Fase de Grupos'!$U$2,"EMPATE"))</f>
        <v>Inglaterra</v>
      </c>
      <c r="S29" s="4">
        <f>PUNTAJE_GANADORES('Pollas Fase de Grupos'!T29,'Resultados Oficiales Fase de Gr'!$D$13,'Pollas Fase de Grupos'!U29,'Resultados Oficiales Fase de Gr'!$E$13,R29,'Resultados Oficiales Fase de Gr'!$G$13)</f>
        <v>1</v>
      </c>
      <c r="T29" s="85" t="str">
        <f>IF('Pollas Fase de Grupos'!V29&gt;'Pollas Fase de Grupos'!W29,'Pollas Fase de Grupos'!$V$2,IF('Pollas Fase de Grupos'!W29&gt;'Pollas Fase de Grupos'!V29,'Pollas Fase de Grupos'!$W$2,"EMPATE"))</f>
        <v>Gales</v>
      </c>
      <c r="U29" s="86">
        <f>PUNTAJE_GANADORES('Pollas Fase de Grupos'!V29,'Resultados Oficiales Fase de Gr'!$D$14,'Pollas Fase de Grupos'!W29,'Resultados Oficiales Fase de Gr'!$E$14,T29,'Resultados Oficiales Fase de Gr'!$G$14)</f>
        <v>0</v>
      </c>
      <c r="V29" s="85" t="str">
        <f>IF('Pollas Fase de Grupos'!X29&gt;'Pollas Fase de Grupos'!Y29,'Pollas Fase de Grupos'!$X$2,IF('Pollas Fase de Grupos'!Y29&gt;'Pollas Fase de Grupos'!X29,'Pollas Fase de Grupos'!$Y$2,"EMPATE"))</f>
        <v>Inglaterra</v>
      </c>
      <c r="W29" s="85">
        <f>PUNTAJE_GANADORES('Pollas Fase de Grupos'!X29,'Resultados Oficiales Fase de Gr'!$D$15,'Pollas Fase de Grupos'!Y29,'Resultados Oficiales Fase de Gr'!$E$15,V29,'Resultados Oficiales Fase de Gr'!$G$15)</f>
        <v>3</v>
      </c>
      <c r="X29" s="85" t="str">
        <f>IF('Pollas Fase de Grupos'!Z29&gt;'Pollas Fase de Grupos'!AA29,'Pollas Fase de Grupos'!$Z$2,IF('Pollas Fase de Grupos'!AA29&gt;'Pollas Fase de Grupos'!Z29,'Pollas Fase de Grupos'!$AA$2,"EMPATE"))</f>
        <v>Estados Unidos</v>
      </c>
      <c r="Y29" s="87">
        <f>PUNTAJE_GANADORES('Pollas Fase de Grupos'!Z29,'Resultados Oficiales Fase de Gr'!$D$16,'Pollas Fase de Grupos'!AA29,'Resultados Oficiales Fase de Gr'!$E$16,X29,'Resultados Oficiales Fase de Gr'!$G$16)</f>
        <v>3</v>
      </c>
      <c r="Z29" s="85" t="str">
        <f>IF('Pollas Fase de Grupos'!AB29&gt;'Pollas Fase de Grupos'!AC29,'Pollas Fase de Grupos'!$AB$2,IF('Pollas Fase de Grupos'!AC29&gt;'Pollas Fase de Grupos'!AB29,'Pollas Fase de Grupos'!$AC$2,"EMPATE"))</f>
        <v>Argentina</v>
      </c>
      <c r="AA29" s="85">
        <f>PUNTAJE_GANADORES('Pollas Fase de Grupos'!AB29,'Resultados Oficiales Fase de Gr'!$D$19,'Pollas Fase de Grupos'!AC29,'Resultados Oficiales Fase de Gr'!$E$19,Z29,'Resultados Oficiales Fase de Gr'!$G$19)</f>
        <v>0</v>
      </c>
      <c r="AB29" s="85" t="str">
        <f>IF('Pollas Fase de Grupos'!AD29&gt;'Pollas Fase de Grupos'!AE29,'Pollas Fase de Grupos'!$AD$2,IF('Pollas Fase de Grupos'!AE29&gt;'Pollas Fase de Grupos'!AD29,'Pollas Fase de Grupos'!$AE$2,"EMPATE"))</f>
        <v>Polonia</v>
      </c>
      <c r="AC29" s="85">
        <f>PUNTAJE_GANADORES('Pollas Fase de Grupos'!AD29,'Resultados Oficiales Fase de Gr'!$D$20,'Pollas Fase de Grupos'!AE29,'Resultados Oficiales Fase de Gr'!$E$20,AB29,'Resultados Oficiales Fase de Gr'!$G$20)</f>
        <v>0</v>
      </c>
      <c r="AD29" s="85" t="str">
        <f>IF('Pollas Fase de Grupos'!AF29&gt;'Pollas Fase de Grupos'!AG29,'Pollas Fase de Grupos'!$AF$2,IF('Pollas Fase de Grupos'!AG29&gt;'Pollas Fase de Grupos'!AF29,'Pollas Fase de Grupos'!$AG$2,"EMPATE"))</f>
        <v>Argentina</v>
      </c>
      <c r="AE29" s="85">
        <f>PUNTAJE_GANADORES('Pollas Fase de Grupos'!AF29,'Resultados Oficiales Fase de Gr'!$D$21,'Pollas Fase de Grupos'!AG29,'Resultados Oficiales Fase de Gr'!$E$21,AD29,'Resultados Oficiales Fase de Gr'!$G$21)</f>
        <v>3</v>
      </c>
      <c r="AF29" s="85" t="str">
        <f>IF('Pollas Fase de Grupos'!AH29&gt;'Pollas Fase de Grupos'!AI29,'Pollas Fase de Grupos'!$AH$2,IF('Pollas Fase de Grupos'!AI29&gt;'Pollas Fase de Grupos'!AH29,'Pollas Fase de Grupos'!$AI$2,"EMPATE"))</f>
        <v>Polonia</v>
      </c>
      <c r="AG29" s="85">
        <f>PUNTAJE_GANADORES('Pollas Fase de Grupos'!AH29,'Resultados Oficiales Fase de Gr'!$D$22,'Pollas Fase de Grupos'!AI29,'Resultados Oficiales Fase de Gr'!$E$22,AF29,'Resultados Oficiales Fase de Gr'!$G$22)</f>
        <v>5</v>
      </c>
      <c r="AH29" s="85" t="str">
        <f>IF('Pollas Fase de Grupos'!AJ29&gt;'Pollas Fase de Grupos'!AK29,'Pollas Fase de Grupos'!$AJ$2,IF('Pollas Fase de Grupos'!AK29&gt;'Pollas Fase de Grupos'!AJ29,'Pollas Fase de Grupos'!$AK$2,"EMPATE"))</f>
        <v>EMPATE</v>
      </c>
      <c r="AI29" s="85">
        <f>PUNTAJE_GANADORES('Pollas Fase de Grupos'!AJ29,'Resultados Oficiales Fase de Gr'!$D$23,'Pollas Fase de Grupos'!AK29,'Resultados Oficiales Fase de Gr'!$E$23,AH29,'Resultados Oficiales Fase de Gr'!$G$23)</f>
        <v>0</v>
      </c>
      <c r="AJ29" s="85" t="str">
        <f>IF('Pollas Fase de Grupos'!AL29&gt;'Pollas Fase de Grupos'!AM29,'Pollas Fase de Grupos'!$AL$2,IF('Pollas Fase de Grupos'!AM29&gt;'Pollas Fase de Grupos'!AL29,'Pollas Fase de Grupos'!$AM$2,"EMPATE"))</f>
        <v>Mexico</v>
      </c>
      <c r="AK29" s="85">
        <f>PUNTAJE_GANADORES('Pollas Fase de Grupos'!AL29,'Resultados Oficiales Fase de Gr'!$D$24,'Pollas Fase de Grupos'!AM29,'Resultados Oficiales Fase de Gr'!$E$24,AJ29,'Resultados Oficiales Fase de Gr'!$G$24)</f>
        <v>5</v>
      </c>
      <c r="AL29" s="85" t="str">
        <f>IF('Pollas Fase de Grupos'!AN29&gt;'Pollas Fase de Grupos'!AO29,'Pollas Fase de Grupos'!$AN$2,IF('Pollas Fase de Grupos'!AO29&gt;'Pollas Fase de Grupos'!AN29,'Pollas Fase de Grupos'!$AO$2,"EMPATE"))</f>
        <v>Francia</v>
      </c>
      <c r="AM29" s="85">
        <f>PUNTAJE_GANADORES('Pollas Fase de Grupos'!AN29,'Resultados Oficiales Fase de Gr'!$D$27,'Pollas Fase de Grupos'!AO29,'Resultados Oficiales Fase de Gr'!$E$27,AL29,'Resultados Oficiales Fase de Gr'!$G$27)</f>
        <v>3</v>
      </c>
      <c r="AN29" s="85" t="str">
        <f>IF('Pollas Fase de Grupos'!AP29&gt;'Pollas Fase de Grupos'!AQ29,'Pollas Fase de Grupos'!$AP$2,IF('Pollas Fase de Grupos'!AQ29&gt;'Pollas Fase de Grupos'!AP29,'Pollas Fase de Grupos'!$AQ$2,"EMPATE"))</f>
        <v>Dinamarca</v>
      </c>
      <c r="AO29" s="85">
        <f>PUNTAJE_GANADORES('Pollas Fase de Grupos'!AP29,'Resultados Oficiales Fase de Gr'!$D$28,'Pollas Fase de Grupos'!AQ29,'Resultados Oficiales Fase de Gr'!$E$28,AN29,'Resultados Oficiales Fase de Gr'!$G$28)</f>
        <v>1</v>
      </c>
      <c r="AP29" s="85" t="str">
        <f>IF('Pollas Fase de Grupos'!AR29&gt;'Pollas Fase de Grupos'!AS29,'Pollas Fase de Grupos'!$AR$2,IF('Pollas Fase de Grupos'!AS29&gt;'Pollas Fase de Grupos'!AR29,'Pollas Fase de Grupos'!$AS$2,"EMPATE"))</f>
        <v>Francia</v>
      </c>
      <c r="AQ29" s="85">
        <f>PUNTAJE_GANADORES('Pollas Fase de Grupos'!AR29,'Resultados Oficiales Fase de Gr'!$D$29,'Pollas Fase de Grupos'!AS29,'Resultados Oficiales Fase de Gr'!$E$29,AP29,'Resultados Oficiales Fase de Gr'!$G$29)</f>
        <v>5</v>
      </c>
      <c r="AR29" s="85" t="str">
        <f>IF('Pollas Fase de Grupos'!AT29&gt;'Pollas Fase de Grupos'!AU29,'Pollas Fase de Grupos'!$AT$2,IF('Pollas Fase de Grupos'!AU29&gt;'Pollas Fase de Grupos'!AT29,'Pollas Fase de Grupos'!$AU$2,"EMPATE"))</f>
        <v>Australia</v>
      </c>
      <c r="AS29" s="85">
        <f>PUNTAJE_GANADORES('Pollas Fase de Grupos'!AT29,'Resultados Oficiales Fase de Gr'!$D$30,'Pollas Fase de Grupos'!AU29,'Resultados Oficiales Fase de Gr'!$E$30,AR29,'Resultados Oficiales Fase de Gr'!$G$30)</f>
        <v>3</v>
      </c>
      <c r="AT29" s="85" t="str">
        <f>IF('Pollas Fase de Grupos'!AV29&gt;'Pollas Fase de Grupos'!AW29,'Pollas Fase de Grupos'!$AV$2,IF('Pollas Fase de Grupos'!AW29&gt;'Pollas Fase de Grupos'!AV29,'Pollas Fase de Grupos'!$AW$2,"EMPATE"))</f>
        <v>Francia</v>
      </c>
      <c r="AU29" s="85">
        <f>PUNTAJE_GANADORES('Pollas Fase de Grupos'!AV29,'Resultados Oficiales Fase de Gr'!$D$31,'Pollas Fase de Grupos'!AW29,'Resultados Oficiales Fase de Gr'!$E$31,AT29,'Resultados Oficiales Fase de Gr'!$G$31)</f>
        <v>0</v>
      </c>
      <c r="AV29" s="85" t="str">
        <f>IF('Pollas Fase de Grupos'!AX29&gt;'Pollas Fase de Grupos'!AY29,'Pollas Fase de Grupos'!$AX$2,IF('Pollas Fase de Grupos'!AY29&gt;'Pollas Fase de Grupos'!AX29,'Pollas Fase de Grupos'!$AY$2,"EMPATE"))</f>
        <v>Dinamarca</v>
      </c>
      <c r="AW29" s="85">
        <f>PUNTAJE_GANADORES('Pollas Fase de Grupos'!AX29,'Resultados Oficiales Fase de Gr'!$D$32,'Pollas Fase de Grupos'!AY29,'Resultados Oficiales Fase de Gr'!$E$32,AV29,'Resultados Oficiales Fase de Gr'!$G$32)</f>
        <v>0</v>
      </c>
      <c r="AX29" s="85" t="str">
        <f>IF('Pollas Fase de Grupos'!AZ29&gt;'Pollas Fase de Grupos'!BA29,'Pollas Fase de Grupos'!$AZ$2,IF('Pollas Fase de Grupos'!BA29&gt;'Pollas Fase de Grupos'!AZ29,'Pollas Fase de Grupos'!$BA$2,"EMPATE"))</f>
        <v>España</v>
      </c>
      <c r="AY29" s="85">
        <f>PUNTAJE_GANADORES('Pollas Fase de Grupos'!AZ29,'Resultados Oficiales Fase de Gr'!$D$35,'Pollas Fase de Grupos'!BA29,'Resultados Oficiales Fase de Gr'!$E$35,AX29,'Resultados Oficiales Fase de Gr'!$G$35)</f>
        <v>0</v>
      </c>
      <c r="AZ29" s="85" t="str">
        <f>IF('Pollas Fase de Grupos'!BB29&gt;'Pollas Fase de Grupos'!BC29,'Pollas Fase de Grupos'!$BB$2,IF('Pollas Fase de Grupos'!BC29&gt;'Pollas Fase de Grupos'!BB29,'Pollas Fase de Grupos'!$BC$2,"EMPATE"))</f>
        <v>Alemania</v>
      </c>
      <c r="BA29" s="85">
        <f>PUNTAJE_GANADORES('Pollas Fase de Grupos'!BB29,'Resultados Oficiales Fase de Gr'!$D$36,'Pollas Fase de Grupos'!BC29,'Resultados Oficiales Fase de Gr'!$E$36,AZ29,'Resultados Oficiales Fase de Gr'!$G$36)</f>
        <v>0</v>
      </c>
      <c r="BB29" s="85" t="str">
        <f>IF('Pollas Fase de Grupos'!BD29&gt;'Pollas Fase de Grupos'!BE29,'Pollas Fase de Grupos'!$BD$2,IF('Pollas Fase de Grupos'!BE29&gt;'Pollas Fase de Grupos'!BD29,'Pollas Fase de Grupos'!$BE$2,"EMPATE"))</f>
        <v>España</v>
      </c>
      <c r="BC29" s="85">
        <f>PUNTAJE_GANADORES('Pollas Fase de Grupos'!BD29,'Resultados Oficiales Fase de Gr'!$D$37,'Pollas Fase de Grupos'!BE29,'Resultados Oficiales Fase de Gr'!$E$37,BB29,'Resultados Oficiales Fase de Gr'!$G$37)</f>
        <v>1</v>
      </c>
      <c r="BD29" s="85" t="str">
        <f>IF('Pollas Fase de Grupos'!BF29&gt;'Pollas Fase de Grupos'!BG29,'Pollas Fase de Grupos'!$BF$2,IF('Pollas Fase de Grupos'!BG29&gt;'Pollas Fase de Grupos'!BF29,'Pollas Fase de Grupos'!$BG$2,"EMPATE"))</f>
        <v>Japon</v>
      </c>
      <c r="BE29" s="85">
        <f>PUNTAJE_GANADORES('Pollas Fase de Grupos'!BF29,'Resultados Oficiales Fase de Gr'!$D$38,'Pollas Fase de Grupos'!BG29,'Resultados Oficiales Fase de Gr'!$E$38,BD29,'Resultados Oficiales Fase de Gr'!$G$38)</f>
        <v>0</v>
      </c>
      <c r="BF29" s="85" t="str">
        <f>IF('Pollas Fase de Grupos'!BH29&gt;'Pollas Fase de Grupos'!BI29,'Pollas Fase de Grupos'!$BH$2,IF('Pollas Fase de Grupos'!BI29&gt;'Pollas Fase de Grupos'!BH29,'Pollas Fase de Grupos'!$BI$2,"EMPATE"))</f>
        <v>España</v>
      </c>
      <c r="BG29" s="85">
        <f>PUNTAJE_GANADORES('Pollas Fase de Grupos'!BH29,'Resultados Oficiales Fase de Gr'!$D$39,'Pollas Fase de Grupos'!BI29,'Resultados Oficiales Fase de Gr'!$E$39,BF29,'Resultados Oficiales Fase de Gr'!$G$39)</f>
        <v>0</v>
      </c>
      <c r="BH29" s="85" t="str">
        <f>IF('Pollas Fase de Grupos'!BJ29&gt;'Pollas Fase de Grupos'!BK29,'Pollas Fase de Grupos'!$BJ$2,IF('Pollas Fase de Grupos'!BK29&gt;'Pollas Fase de Grupos'!BJ29,'Pollas Fase de Grupos'!$BK$2,"EMPATE"))</f>
        <v>Alemania</v>
      </c>
      <c r="BI29" s="85">
        <f>PUNTAJE_GANADORES('Pollas Fase de Grupos'!BJ29,'Resultados Oficiales Fase de Gr'!$D$40,'Pollas Fase de Grupos'!BK29,'Resultados Oficiales Fase de Gr'!$E$40,BH29,'Resultados Oficiales Fase de Gr'!$G$40)</f>
        <v>2</v>
      </c>
      <c r="BJ29" s="85" t="str">
        <f>IF('Pollas Fase de Grupos'!BL29&gt;'Pollas Fase de Grupos'!BM29,'Pollas Fase de Grupos'!$BL$2,IF('Pollas Fase de Grupos'!BM29&gt;'Pollas Fase de Grupos'!BL29,'Pollas Fase de Grupos'!$BM$2,"EMPATE"))</f>
        <v>Belgica</v>
      </c>
      <c r="BK29" s="85">
        <f>PUNTAJE_GANADORES('Pollas Fase de Grupos'!BL29,'Resultados Oficiales Fase de Gr'!$D$43,'Pollas Fase de Grupos'!BM29,'Resultados Oficiales Fase de Gr'!$E$43,BJ29,'Resultados Oficiales Fase de Gr'!$G$43)</f>
        <v>2</v>
      </c>
      <c r="BL29" s="85" t="str">
        <f>IF('Pollas Fase de Grupos'!BN29&gt;'Pollas Fase de Grupos'!BO29,'Pollas Fase de Grupos'!$BN$2,IF('Pollas Fase de Grupos'!BO29&gt;'Pollas Fase de Grupos'!BN29,'Pollas Fase de Grupos'!$BO$2,"EMPATE"))</f>
        <v>Croacia</v>
      </c>
      <c r="BM29" s="85">
        <f>PUNTAJE_GANADORES('Pollas Fase de Grupos'!BN29,'Resultados Oficiales Fase de Gr'!$D$44,'Pollas Fase de Grupos'!BO29,'Resultados Oficiales Fase de Gr'!$E$44,BL29,'Resultados Oficiales Fase de Gr'!$G$44)</f>
        <v>1</v>
      </c>
      <c r="BN29" s="85" t="str">
        <f>IF('Pollas Fase de Grupos'!BP29&gt;'Pollas Fase de Grupos'!BQ29,'Pollas Fase de Grupos'!$BP$2,IF('Pollas Fase de Grupos'!BQ29&gt;'Pollas Fase de Grupos'!BP29,'Pollas Fase de Grupos'!$BQ$2,"EMPATE"))</f>
        <v>Belgica</v>
      </c>
      <c r="BO29" s="85">
        <f>PUNTAJE_GANADORES('Pollas Fase de Grupos'!BP29,'Resultados Oficiales Fase de Gr'!$D$45,'Pollas Fase de Grupos'!BQ29,'Resultados Oficiales Fase de Gr'!$E$45,BN29,'Resultados Oficiales Fase de Gr'!$G$45)</f>
        <v>0</v>
      </c>
      <c r="BP29" s="85" t="str">
        <f>IF('Pollas Fase de Grupos'!BR29&gt;'Pollas Fase de Grupos'!BS29,'Pollas Fase de Grupos'!$BR$2,IF('Pollas Fase de Grupos'!BS29&gt;'Pollas Fase de Grupos'!BR29,'Pollas Fase de Grupos'!$BS$2,"EMPATE"))</f>
        <v>Canada</v>
      </c>
      <c r="BQ29" s="85">
        <f>PUNTAJE_GANADORES('Pollas Fase de Grupos'!BR29,'Resultados Oficiales Fase de Gr'!$D$46,'Pollas Fase de Grupos'!BS29,'Resultados Oficiales Fase de Gr'!$E$46,BP29,'Resultados Oficiales Fase de Gr'!$G$46)</f>
        <v>0</v>
      </c>
      <c r="BR29" s="85" t="str">
        <f>IF('Pollas Fase de Grupos'!BT29&gt;'Pollas Fase de Grupos'!BU29,'Pollas Fase de Grupos'!$BT$2,IF('Pollas Fase de Grupos'!BU29&gt;'Pollas Fase de Grupos'!BT29,'Pollas Fase de Grupos'!$BU$2,"EMPATE"))</f>
        <v>Belgica</v>
      </c>
      <c r="BS29" s="85">
        <f>PUNTAJE_GANADORES('Pollas Fase de Grupos'!BT29,'Resultados Oficiales Fase de Gr'!$D$47,'Pollas Fase de Grupos'!BU29,'Resultados Oficiales Fase de Gr'!$E$47,BR29,'Resultados Oficiales Fase de Gr'!$G$47)</f>
        <v>0</v>
      </c>
      <c r="BT29" s="85" t="str">
        <f>IF('Pollas Fase de Grupos'!BV29&gt;'Pollas Fase de Grupos'!BW29,'Pollas Fase de Grupos'!$BV$2,IF('Pollas Fase de Grupos'!BW29&gt;'Pollas Fase de Grupos'!BV29,'Pollas Fase de Grupos'!$BW$2,"EMPATE"))</f>
        <v>Canada</v>
      </c>
      <c r="BU29" s="85">
        <f>PUNTAJE_GANADORES('Pollas Fase de Grupos'!BV29,'Resultados Oficiales Fase de Gr'!$D$48,'Pollas Fase de Grupos'!BW29,'Resultados Oficiales Fase de Gr'!$E$48,BT29,'Resultados Oficiales Fase de Gr'!$G$48)</f>
        <v>0</v>
      </c>
      <c r="BV29" s="85" t="str">
        <f>IF('Pollas Fase de Grupos'!BX29&gt;'Pollas Fase de Grupos'!BY29,'Pollas Fase de Grupos'!$BX$2,IF('Pollas Fase de Grupos'!BY29&gt;'Pollas Fase de Grupos'!BX29,'Pollas Fase de Grupos'!$BY$2,"EMPATE"))</f>
        <v>Brasil</v>
      </c>
      <c r="BW29" s="85">
        <f>PUNTAJE_GANADORES('Pollas Fase de Grupos'!BX29,'Resultados Oficiales Fase de Gr'!$D$51,'Pollas Fase de Grupos'!BY29,'Resultados Oficiales Fase de Gr'!$E$51,BV29,'Resultados Oficiales Fase de Gr'!$G$51)</f>
        <v>3</v>
      </c>
      <c r="BX29" s="85" t="str">
        <f>IF('Pollas Fase de Grupos'!BZ29&gt;'Pollas Fase de Grupos'!CA29,'Pollas Fase de Grupos'!$BZ$2,IF('Pollas Fase de Grupos'!CA29&gt;'Pollas Fase de Grupos'!BZ29,'Pollas Fase de Grupos'!$CA$2,"EMPATE"))</f>
        <v>Camerun</v>
      </c>
      <c r="BY29" s="85">
        <f>PUNTAJE_GANADORES('Pollas Fase de Grupos'!BZ29,'Resultados Oficiales Fase de Gr'!$D$52,'Pollas Fase de Grupos'!CA29,'Resultados Oficiales Fase de Gr'!$E$52,BX29,'Resultados Oficiales Fase de Gr'!$G$52)</f>
        <v>1</v>
      </c>
      <c r="BZ29" s="85" t="str">
        <f>IF('Pollas Fase de Grupos'!CB29&gt;'Pollas Fase de Grupos'!CC29,'Pollas Fase de Grupos'!$CB$2,IF('Pollas Fase de Grupos'!CC29&gt;'Pollas Fase de Grupos'!CB29,'Pollas Fase de Grupos'!$CC$2,"EMPATE"))</f>
        <v>Brasil</v>
      </c>
      <c r="CA29" s="85">
        <f>PUNTAJE_GANADORES('Pollas Fase de Grupos'!CB29,'Resultados Oficiales Fase de Gr'!$D$53,'Pollas Fase de Grupos'!CC29,'Resultados Oficiales Fase de Gr'!$E$53,BZ29,'Resultados Oficiales Fase de Gr'!$G$53)</f>
        <v>2</v>
      </c>
      <c r="CB29" s="85" t="str">
        <f>IF('Pollas Fase de Grupos'!CD29&gt;'Pollas Fase de Grupos'!CE29,'Pollas Fase de Grupos'!$CD$2,IF('Pollas Fase de Grupos'!CE29&gt;'Pollas Fase de Grupos'!CD29,'Pollas Fase de Grupos'!$CE$2,"EMPATE"))</f>
        <v>Camerun</v>
      </c>
      <c r="CC29" s="85">
        <f>PUNTAJE_GANADORES('Pollas Fase de Grupos'!CD29,'Resultados Oficiales Fase de Gr'!$D$54,'Pollas Fase de Grupos'!CE29,'Resultados Oficiales Fase de Gr'!$E$54,CB29,'Resultados Oficiales Fase de Gr'!$G$54)</f>
        <v>0</v>
      </c>
      <c r="CD29" s="85" t="str">
        <f>IF('Pollas Fase de Grupos'!CF29&gt;'Pollas Fase de Grupos'!CG29,'Pollas Fase de Grupos'!$CF$2,IF('Pollas Fase de Grupos'!CG29&gt;'Pollas Fase de Grupos'!CF29,'Pollas Fase de Grupos'!$CG$2,"EMPATE"))</f>
        <v>Brasil</v>
      </c>
      <c r="CE29" s="85">
        <f>PUNTAJE_GANADORES('Pollas Fase de Grupos'!CF29,'Resultados Oficiales Fase de Gr'!$D$55,'Pollas Fase de Grupos'!CG29,'Resultados Oficiales Fase de Gr'!$E$55,CD29,'Resultados Oficiales Fase de Gr'!$G$55)</f>
        <v>0</v>
      </c>
      <c r="CF29" s="85" t="str">
        <f>IF('Pollas Fase de Grupos'!CH29&gt;'Pollas Fase de Grupos'!CI29,'Pollas Fase de Grupos'!$CH$2,IF('Pollas Fase de Grupos'!CI29&gt;'Pollas Fase de Grupos'!CH29,'Pollas Fase de Grupos'!$CI$2,"EMPATE"))</f>
        <v>Suiza</v>
      </c>
      <c r="CG29" s="85">
        <f>PUNTAJE_GANADORES('Pollas Fase de Grupos'!CH29,'Resultados Oficiales Fase de Gr'!$D$56,'Pollas Fase de Grupos'!CI29,'Resultados Oficiales Fase de Gr'!$E$56,CF29,'Resultados Oficiales Fase de Gr'!$G$56)</f>
        <v>2</v>
      </c>
      <c r="CH29" s="85" t="str">
        <f>IF('Pollas Fase de Grupos'!CJ29&gt;'Pollas Fase de Grupos'!CK29,'Pollas Fase de Grupos'!$CJ$2,IF('Pollas Fase de Grupos'!CK29&gt;'Pollas Fase de Grupos'!CJ29,'Pollas Fase de Grupos'!$CK$2,"EMPATE"))</f>
        <v>Portugal</v>
      </c>
      <c r="CI29" s="85">
        <f>PUNTAJE_GANADORES('Pollas Fase de Grupos'!CJ29,'Resultados Oficiales Fase de Gr'!$D$59,'Pollas Fase de Grupos'!CK29,'Resultados Oficiales Fase de Gr'!$E$59,CH29,'Resultados Oficiales Fase de Gr'!$G$59)</f>
        <v>3</v>
      </c>
      <c r="CJ29" s="85" t="str">
        <f>IF('Pollas Fase de Grupos'!CL29&gt;'Pollas Fase de Grupos'!CM29,'Pollas Fase de Grupos'!$CL$2,IF('Pollas Fase de Grupos'!CM29&gt;'Pollas Fase de Grupos'!CL29,'Pollas Fase de Grupos'!$CM$2,"EMPATE"))</f>
        <v>Uruguay</v>
      </c>
      <c r="CK29" s="85">
        <f>PUNTAJE_GANADORES('Pollas Fase de Grupos'!CL29,'Resultados Oficiales Fase de Gr'!$D$60,'Pollas Fase de Grupos'!CM29,'Resultados Oficiales Fase de Gr'!$E$60,CJ29,'Resultados Oficiales Fase de Gr'!$G$60)</f>
        <v>1</v>
      </c>
      <c r="CL29" s="85" t="str">
        <f>IF('Pollas Fase de Grupos'!CN29&gt;'Pollas Fase de Grupos'!CO29,'Pollas Fase de Grupos'!$CN$2,IF('Pollas Fase de Grupos'!CO29&gt;'Pollas Fase de Grupos'!CN29,'Pollas Fase de Grupos'!$CO$2,"EMPATE"))</f>
        <v>Portugal</v>
      </c>
      <c r="CM29" s="85">
        <f>PUNTAJE_GANADORES('Pollas Fase de Grupos'!CN29,'Resultados Oficiales Fase de Gr'!$D$61,'Pollas Fase de Grupos'!CO29,'Resultados Oficiales Fase de Gr'!$E$61,CL29,'Resultados Oficiales Fase de Gr'!$G$61)</f>
        <v>3</v>
      </c>
      <c r="CN29" s="85" t="str">
        <f>IF('Pollas Fase de Grupos'!CP29&gt;'Pollas Fase de Grupos'!CQ29,'Pollas Fase de Grupos'!$CP$2,IF('Pollas Fase de Grupos'!CQ29&gt;'Pollas Fase de Grupos'!CP29,'Pollas Fase de Grupos'!$CQ$2,"EMPATE"))</f>
        <v>EMPATE</v>
      </c>
      <c r="CO29" s="85">
        <f>PUNTAJE_GANADORES('Pollas Fase de Grupos'!CP29,'Resultados Oficiales Fase de Gr'!$D$62,'Pollas Fase de Grupos'!CQ29,'Resultados Oficiales Fase de Gr'!$E$62,CN29,'Resultados Oficiales Fase de Gr'!$G$62)</f>
        <v>0</v>
      </c>
      <c r="CP29" s="85" t="str">
        <f>IF('Pollas Fase de Grupos'!CR29&gt;'Pollas Fase de Grupos'!CS29,'Pollas Fase de Grupos'!$CR$2,IF('Pollas Fase de Grupos'!CS29&gt;'Pollas Fase de Grupos'!CR29,'Pollas Fase de Grupos'!$CS$2,"EMPATE"))</f>
        <v>Portugal</v>
      </c>
      <c r="CQ29" s="85">
        <f>PUNTAJE_GANADORES('Pollas Fase de Grupos'!CR29,'Resultados Oficiales Fase de Gr'!$D$63,'Pollas Fase de Grupos'!CS29,'Resultados Oficiales Fase de Gr'!$E$63,CP29,'Resultados Oficiales Fase de Gr'!$G$63)</f>
        <v>0</v>
      </c>
      <c r="CR29" s="85" t="str">
        <f>IF('Pollas Fase de Grupos'!CT29&gt;'Pollas Fase de Grupos'!CU29,'Pollas Fase de Grupos'!$CT$2,IF('Pollas Fase de Grupos'!CU29&gt;'Pollas Fase de Grupos'!CT29,'Pollas Fase de Grupos'!$CU$2,"EMPATE"))</f>
        <v>Uruguay</v>
      </c>
      <c r="CS29" s="85">
        <f>PUNTAJE_GANADORES('Pollas Fase de Grupos'!CT29,'Resultados Oficiales Fase de Gr'!$D$64,'Pollas Fase de Grupos'!CU29,'Resultados Oficiales Fase de Gr'!$E$64,CR29,'Resultados Oficiales Fase de Gr'!$G$64)</f>
        <v>2</v>
      </c>
      <c r="CT29" s="4">
        <f t="shared" si="1"/>
        <v>76</v>
      </c>
      <c r="CU29" s="17">
        <v>54.0</v>
      </c>
      <c r="CV29" s="3">
        <f t="shared" si="2"/>
        <v>79</v>
      </c>
    </row>
    <row r="30">
      <c r="A30" s="3" t="str">
        <f>'Pollas Fase de Grupos'!CV30</f>
        <v>Club Atletico Vodka Juniors</v>
      </c>
      <c r="B30" s="4" t="str">
        <f>IF('Pollas Fase de Grupos'!D30&gt;'Pollas Fase de Grupos'!E30,'Pollas Fase de Grupos'!$D$2,IF('Pollas Fase de Grupos'!E30&gt;'Pollas Fase de Grupos'!D30,'Pollas Fase de Grupos'!$E$2,"EMPATE"))</f>
        <v>Qatar</v>
      </c>
      <c r="C30" s="4">
        <f>PUNTAJE_GANADORES('Pollas Fase de Grupos'!D30,'Resultados Oficiales Fase de Gr'!$D$3,'Pollas Fase de Grupos'!E30,'Resultados Oficiales Fase de Gr'!$E$3,B30,'Resultados Oficiales Fase de Gr'!$G$3)</f>
        <v>0</v>
      </c>
      <c r="D30" s="85" t="str">
        <f>IF('Pollas Fase de Grupos'!F30&gt;'Pollas Fase de Grupos'!G30,'Pollas Fase de Grupos'!$F$2,IF('Pollas Fase de Grupos'!G30&gt;'Pollas Fase de Grupos'!F30,'Pollas Fase de Grupos'!$G$2,"EMPATE"))</f>
        <v>Paises Bajos</v>
      </c>
      <c r="E30" s="4">
        <f>PUNTAJE_GANADORES('Pollas Fase de Grupos'!F30,'Resultados Oficiales Fase de Gr'!$D$4,'Pollas Fase de Grupos'!G30,'Resultados Oficiales Fase de Gr'!$E$4,D30,'Resultados Oficiales Fase de Gr'!$G$4)</f>
        <v>2</v>
      </c>
      <c r="F30" s="85" t="str">
        <f>IF('Pollas Fase de Grupos'!H30&gt;'Pollas Fase de Grupos'!I30,'Pollas Fase de Grupos'!$H$2,IF('Pollas Fase de Grupos'!I30&gt;'Pollas Fase de Grupos'!H30,'Pollas Fase de Grupos'!$I$2,"EMPATE"))</f>
        <v>Senegal</v>
      </c>
      <c r="G30" s="4">
        <f>PUNTAJE_GANADORES('Pollas Fase de Grupos'!H30,'Resultados Oficiales Fase de Gr'!$D$5,'Pollas Fase de Grupos'!I30,'Resultados Oficiales Fase de Gr'!$E$5,F30,'Resultados Oficiales Fase de Gr'!$G$5)</f>
        <v>2</v>
      </c>
      <c r="H30" s="85" t="str">
        <f>IF('Pollas Fase de Grupos'!J30&gt;'Pollas Fase de Grupos'!K30,'Pollas Fase de Grupos'!$J$2,IF('Pollas Fase de Grupos'!K30&gt;'Pollas Fase de Grupos'!J30,'Pollas Fase de Grupos'!$K$2,"EMPATE"))</f>
        <v>Paises Bajos</v>
      </c>
      <c r="I30" s="4">
        <f>PUNTAJE_GANADORES('Pollas Fase de Grupos'!J30,'Resultados Oficiales Fase de Gr'!$D$6,'Pollas Fase de Grupos'!K30,'Resultados Oficiales Fase de Gr'!$E$6,H30,'Resultados Oficiales Fase de Gr'!$G$6)</f>
        <v>1</v>
      </c>
      <c r="J30" s="85" t="str">
        <f>IF('Pollas Fase de Grupos'!L30&gt;'Pollas Fase de Grupos'!M30,'Pollas Fase de Grupos'!$L$2,IF('Pollas Fase de Grupos'!M30&gt;'Pollas Fase de Grupos'!L30,'Pollas Fase de Grupos'!$M$2,"EMPATE"))</f>
        <v>Paises Bajos</v>
      </c>
      <c r="K30" s="4">
        <f>PUNTAJE_GANADORES('Pollas Fase de Grupos'!L30,'Resultados Oficiales Fase de Gr'!$D$7,'Pollas Fase de Grupos'!M30,'Resultados Oficiales Fase de Gr'!$E$7,J30,'Resultados Oficiales Fase de Gr'!$G$7)</f>
        <v>2</v>
      </c>
      <c r="L30" s="85" t="str">
        <f>IF('Pollas Fase de Grupos'!N30&gt;'Pollas Fase de Grupos'!O30,'Pollas Fase de Grupos'!$N$2,IF('Pollas Fase de Grupos'!O30&gt;'Pollas Fase de Grupos'!N30,'Pollas Fase de Grupos'!$O$2,"EMPATE"))</f>
        <v>Ecuador</v>
      </c>
      <c r="M30" s="85">
        <f>PUNTAJE_GANADORES('Pollas Fase de Grupos'!N30,'Resultados Oficiales Fase de Gr'!$D$8,'Pollas Fase de Grupos'!O30,'Resultados Oficiales Fase de Gr'!$E$8,L30,'Resultados Oficiales Fase de Gr'!$G$8)</f>
        <v>0</v>
      </c>
      <c r="N30" s="85" t="str">
        <f>IF('Pollas Fase de Grupos'!P30&gt;'Pollas Fase de Grupos'!Q30,'Pollas Fase de Grupos'!$P$2,IF('Pollas Fase de Grupos'!Q30&gt;'Pollas Fase de Grupos'!P30,'Pollas Fase de Grupos'!$Q$2,"EMPATE"))</f>
        <v>Inglaterra</v>
      </c>
      <c r="O30" s="85">
        <f>PUNTAJE_GANADORES('Pollas Fase de Grupos'!P30,'Resultados Oficiales Fase de Gr'!$D$11,'Pollas Fase de Grupos'!Q30,'Resultados Oficiales Fase de Gr'!$E$11,N30,'Resultados Oficiales Fase de Gr'!$G$11)</f>
        <v>2</v>
      </c>
      <c r="P30" s="4" t="str">
        <f>IF('Pollas Fase de Grupos'!R30&gt;'Pollas Fase de Grupos'!S30,'Pollas Fase de Grupos'!$R$2,IF('Pollas Fase de Grupos'!S30&gt;'Pollas Fase de Grupos'!R30,'Pollas Fase de Grupos'!$S$2,"EMPATE"))</f>
        <v>Estados Unidos</v>
      </c>
      <c r="Q30" s="85">
        <f>PUNTAJE_GANADORES('Pollas Fase de Grupos'!R30,'Resultados Oficiales Fase de Gr'!$D$12,'Pollas Fase de Grupos'!S30,'Resultados Oficiales Fase de Gr'!$E$12,P30,'Resultados Oficiales Fase de Gr'!$G$12)</f>
        <v>0</v>
      </c>
      <c r="R30" s="85" t="str">
        <f>IF('Pollas Fase de Grupos'!T30&gt;'Pollas Fase de Grupos'!U30,'Pollas Fase de Grupos'!$T$2,IF('Pollas Fase de Grupos'!U30&gt;'Pollas Fase de Grupos'!T30,'Pollas Fase de Grupos'!$U$2,"EMPATE"))</f>
        <v>Inglaterra</v>
      </c>
      <c r="S30" s="4">
        <f>PUNTAJE_GANADORES('Pollas Fase de Grupos'!T30,'Resultados Oficiales Fase de Gr'!$D$13,'Pollas Fase de Grupos'!U30,'Resultados Oficiales Fase de Gr'!$E$13,R30,'Resultados Oficiales Fase de Gr'!$G$13)</f>
        <v>0</v>
      </c>
      <c r="T30" s="85" t="str">
        <f>IF('Pollas Fase de Grupos'!V30&gt;'Pollas Fase de Grupos'!W30,'Pollas Fase de Grupos'!$V$2,IF('Pollas Fase de Grupos'!W30&gt;'Pollas Fase de Grupos'!V30,'Pollas Fase de Grupos'!$W$2,"EMPATE"))</f>
        <v>Gales</v>
      </c>
      <c r="U30" s="86">
        <f>PUNTAJE_GANADORES('Pollas Fase de Grupos'!V30,'Resultados Oficiales Fase de Gr'!$D$14,'Pollas Fase de Grupos'!W30,'Resultados Oficiales Fase de Gr'!$E$14,T30,'Resultados Oficiales Fase de Gr'!$G$14)</f>
        <v>0</v>
      </c>
      <c r="V30" s="85" t="str">
        <f>IF('Pollas Fase de Grupos'!X30&gt;'Pollas Fase de Grupos'!Y30,'Pollas Fase de Grupos'!$X$2,IF('Pollas Fase de Grupos'!Y30&gt;'Pollas Fase de Grupos'!X30,'Pollas Fase de Grupos'!$Y$2,"EMPATE"))</f>
        <v>Inglaterra</v>
      </c>
      <c r="W30" s="85">
        <f>PUNTAJE_GANADORES('Pollas Fase de Grupos'!X30,'Resultados Oficiales Fase de Gr'!$D$15,'Pollas Fase de Grupos'!Y30,'Resultados Oficiales Fase de Gr'!$E$15,V30,'Resultados Oficiales Fase de Gr'!$G$15)</f>
        <v>3</v>
      </c>
      <c r="X30" s="85" t="str">
        <f>IF('Pollas Fase de Grupos'!Z30&gt;'Pollas Fase de Grupos'!AA30,'Pollas Fase de Grupos'!$Z$2,IF('Pollas Fase de Grupos'!AA30&gt;'Pollas Fase de Grupos'!Z30,'Pollas Fase de Grupos'!$AA$2,"EMPATE"))</f>
        <v>Estados Unidos</v>
      </c>
      <c r="Y30" s="87">
        <f>PUNTAJE_GANADORES('Pollas Fase de Grupos'!Z30,'Resultados Oficiales Fase de Gr'!$D$16,'Pollas Fase de Grupos'!AA30,'Resultados Oficiales Fase de Gr'!$E$16,X30,'Resultados Oficiales Fase de Gr'!$G$16)</f>
        <v>2</v>
      </c>
      <c r="Z30" s="85" t="str">
        <f>IF('Pollas Fase de Grupos'!AB30&gt;'Pollas Fase de Grupos'!AC30,'Pollas Fase de Grupos'!$AB$2,IF('Pollas Fase de Grupos'!AC30&gt;'Pollas Fase de Grupos'!AB30,'Pollas Fase de Grupos'!$AC$2,"EMPATE"))</f>
        <v>Argentina</v>
      </c>
      <c r="AA30" s="85">
        <f>PUNTAJE_GANADORES('Pollas Fase de Grupos'!AB30,'Resultados Oficiales Fase de Gr'!$D$19,'Pollas Fase de Grupos'!AC30,'Resultados Oficiales Fase de Gr'!$E$19,Z30,'Resultados Oficiales Fase de Gr'!$G$19)</f>
        <v>0</v>
      </c>
      <c r="AB30" s="85" t="str">
        <f>IF('Pollas Fase de Grupos'!AD30&gt;'Pollas Fase de Grupos'!AE30,'Pollas Fase de Grupos'!$AD$2,IF('Pollas Fase de Grupos'!AE30&gt;'Pollas Fase de Grupos'!AD30,'Pollas Fase de Grupos'!$AE$2,"EMPATE"))</f>
        <v>EMPATE</v>
      </c>
      <c r="AC30" s="85">
        <f>PUNTAJE_GANADORES('Pollas Fase de Grupos'!AD30,'Resultados Oficiales Fase de Gr'!$D$20,'Pollas Fase de Grupos'!AE30,'Resultados Oficiales Fase de Gr'!$E$20,AB30,'Resultados Oficiales Fase de Gr'!$G$20)</f>
        <v>1</v>
      </c>
      <c r="AD30" s="85" t="str">
        <f>IF('Pollas Fase de Grupos'!AF30&gt;'Pollas Fase de Grupos'!AG30,'Pollas Fase de Grupos'!$AF$2,IF('Pollas Fase de Grupos'!AG30&gt;'Pollas Fase de Grupos'!AF30,'Pollas Fase de Grupos'!$AG$2,"EMPATE"))</f>
        <v>Argentina</v>
      </c>
      <c r="AE30" s="85">
        <f>PUNTAJE_GANADORES('Pollas Fase de Grupos'!AF30,'Resultados Oficiales Fase de Gr'!$D$21,'Pollas Fase de Grupos'!AG30,'Resultados Oficiales Fase de Gr'!$E$21,AD30,'Resultados Oficiales Fase de Gr'!$G$21)</f>
        <v>2</v>
      </c>
      <c r="AF30" s="85" t="str">
        <f>IF('Pollas Fase de Grupos'!AH30&gt;'Pollas Fase de Grupos'!AI30,'Pollas Fase de Grupos'!$AH$2,IF('Pollas Fase de Grupos'!AI30&gt;'Pollas Fase de Grupos'!AH30,'Pollas Fase de Grupos'!$AI$2,"EMPATE"))</f>
        <v>Polonia</v>
      </c>
      <c r="AG30" s="85">
        <f>PUNTAJE_GANADORES('Pollas Fase de Grupos'!AH30,'Resultados Oficiales Fase de Gr'!$D$22,'Pollas Fase de Grupos'!AI30,'Resultados Oficiales Fase de Gr'!$E$22,AF30,'Resultados Oficiales Fase de Gr'!$G$22)</f>
        <v>3</v>
      </c>
      <c r="AH30" s="85" t="str">
        <f>IF('Pollas Fase de Grupos'!AJ30&gt;'Pollas Fase de Grupos'!AK30,'Pollas Fase de Grupos'!$AJ$2,IF('Pollas Fase de Grupos'!AK30&gt;'Pollas Fase de Grupos'!AJ30,'Pollas Fase de Grupos'!$AK$2,"EMPATE"))</f>
        <v>Argentina</v>
      </c>
      <c r="AI30" s="85">
        <f>PUNTAJE_GANADORES('Pollas Fase de Grupos'!AJ30,'Resultados Oficiales Fase de Gr'!$D$23,'Pollas Fase de Grupos'!AK30,'Resultados Oficiales Fase de Gr'!$E$23,AH30,'Resultados Oficiales Fase de Gr'!$G$23)</f>
        <v>5</v>
      </c>
      <c r="AJ30" s="85" t="str">
        <f>IF('Pollas Fase de Grupos'!AL30&gt;'Pollas Fase de Grupos'!AM30,'Pollas Fase de Grupos'!$AL$2,IF('Pollas Fase de Grupos'!AM30&gt;'Pollas Fase de Grupos'!AL30,'Pollas Fase de Grupos'!$AM$2,"EMPATE"))</f>
        <v>Mexico</v>
      </c>
      <c r="AK30" s="85">
        <f>PUNTAJE_GANADORES('Pollas Fase de Grupos'!AL30,'Resultados Oficiales Fase de Gr'!$D$24,'Pollas Fase de Grupos'!AM30,'Resultados Oficiales Fase de Gr'!$E$24,AJ30,'Resultados Oficiales Fase de Gr'!$G$24)</f>
        <v>3</v>
      </c>
      <c r="AL30" s="85" t="str">
        <f>IF('Pollas Fase de Grupos'!AN30&gt;'Pollas Fase de Grupos'!AO30,'Pollas Fase de Grupos'!$AN$2,IF('Pollas Fase de Grupos'!AO30&gt;'Pollas Fase de Grupos'!AN30,'Pollas Fase de Grupos'!$AO$2,"EMPATE"))</f>
        <v>Francia</v>
      </c>
      <c r="AM30" s="85">
        <f>PUNTAJE_GANADORES('Pollas Fase de Grupos'!AN30,'Resultados Oficiales Fase de Gr'!$D$27,'Pollas Fase de Grupos'!AO30,'Resultados Oficiales Fase de Gr'!$E$27,AL30,'Resultados Oficiales Fase de Gr'!$G$27)</f>
        <v>2</v>
      </c>
      <c r="AN30" s="85" t="str">
        <f>IF('Pollas Fase de Grupos'!AP30&gt;'Pollas Fase de Grupos'!AQ30,'Pollas Fase de Grupos'!$AP$2,IF('Pollas Fase de Grupos'!AQ30&gt;'Pollas Fase de Grupos'!AP30,'Pollas Fase de Grupos'!$AQ$2,"EMPATE"))</f>
        <v>Dinamarca</v>
      </c>
      <c r="AO30" s="85">
        <f>PUNTAJE_GANADORES('Pollas Fase de Grupos'!AP30,'Resultados Oficiales Fase de Gr'!$D$28,'Pollas Fase de Grupos'!AQ30,'Resultados Oficiales Fase de Gr'!$E$28,AN30,'Resultados Oficiales Fase de Gr'!$G$28)</f>
        <v>1</v>
      </c>
      <c r="AP30" s="85" t="str">
        <f>IF('Pollas Fase de Grupos'!AR30&gt;'Pollas Fase de Grupos'!AS30,'Pollas Fase de Grupos'!$AR$2,IF('Pollas Fase de Grupos'!AS30&gt;'Pollas Fase de Grupos'!AR30,'Pollas Fase de Grupos'!$AS$2,"EMPATE"))</f>
        <v>Francia</v>
      </c>
      <c r="AQ30" s="85">
        <f>PUNTAJE_GANADORES('Pollas Fase de Grupos'!AR30,'Resultados Oficiales Fase de Gr'!$D$29,'Pollas Fase de Grupos'!AS30,'Resultados Oficiales Fase de Gr'!$E$29,AP30,'Resultados Oficiales Fase de Gr'!$G$29)</f>
        <v>5</v>
      </c>
      <c r="AR30" s="85" t="str">
        <f>IF('Pollas Fase de Grupos'!AT30&gt;'Pollas Fase de Grupos'!AU30,'Pollas Fase de Grupos'!$AT$2,IF('Pollas Fase de Grupos'!AU30&gt;'Pollas Fase de Grupos'!AT30,'Pollas Fase de Grupos'!$AU$2,"EMPATE"))</f>
        <v>Australia</v>
      </c>
      <c r="AS30" s="85">
        <f>PUNTAJE_GANADORES('Pollas Fase de Grupos'!AT30,'Resultados Oficiales Fase de Gr'!$D$30,'Pollas Fase de Grupos'!AU30,'Resultados Oficiales Fase de Gr'!$E$30,AR30,'Resultados Oficiales Fase de Gr'!$G$30)</f>
        <v>5</v>
      </c>
      <c r="AT30" s="85" t="str">
        <f>IF('Pollas Fase de Grupos'!AV30&gt;'Pollas Fase de Grupos'!AW30,'Pollas Fase de Grupos'!$AV$2,IF('Pollas Fase de Grupos'!AW30&gt;'Pollas Fase de Grupos'!AV30,'Pollas Fase de Grupos'!$AW$2,"EMPATE"))</f>
        <v>Francia</v>
      </c>
      <c r="AU30" s="85">
        <f>PUNTAJE_GANADORES('Pollas Fase de Grupos'!AV30,'Resultados Oficiales Fase de Gr'!$D$31,'Pollas Fase de Grupos'!AW30,'Resultados Oficiales Fase de Gr'!$E$31,AT30,'Resultados Oficiales Fase de Gr'!$G$31)</f>
        <v>0</v>
      </c>
      <c r="AV30" s="85" t="str">
        <f>IF('Pollas Fase de Grupos'!AX30&gt;'Pollas Fase de Grupos'!AY30,'Pollas Fase de Grupos'!$AX$2,IF('Pollas Fase de Grupos'!AY30&gt;'Pollas Fase de Grupos'!AX30,'Pollas Fase de Grupos'!$AY$2,"EMPATE"))</f>
        <v>Dinamarca</v>
      </c>
      <c r="AW30" s="85">
        <f>PUNTAJE_GANADORES('Pollas Fase de Grupos'!AX30,'Resultados Oficiales Fase de Gr'!$D$32,'Pollas Fase de Grupos'!AY30,'Resultados Oficiales Fase de Gr'!$E$32,AV30,'Resultados Oficiales Fase de Gr'!$G$32)</f>
        <v>1</v>
      </c>
      <c r="AX30" s="85" t="str">
        <f>IF('Pollas Fase de Grupos'!AZ30&gt;'Pollas Fase de Grupos'!BA30,'Pollas Fase de Grupos'!$AZ$2,IF('Pollas Fase de Grupos'!BA30&gt;'Pollas Fase de Grupos'!AZ30,'Pollas Fase de Grupos'!$BA$2,"EMPATE"))</f>
        <v>España</v>
      </c>
      <c r="AY30" s="85">
        <f>PUNTAJE_GANADORES('Pollas Fase de Grupos'!AZ30,'Resultados Oficiales Fase de Gr'!$D$35,'Pollas Fase de Grupos'!BA30,'Resultados Oficiales Fase de Gr'!$E$35,AX30,'Resultados Oficiales Fase de Gr'!$G$35)</f>
        <v>1</v>
      </c>
      <c r="AZ30" s="85" t="str">
        <f>IF('Pollas Fase de Grupos'!BB30&gt;'Pollas Fase de Grupos'!BC30,'Pollas Fase de Grupos'!$BB$2,IF('Pollas Fase de Grupos'!BC30&gt;'Pollas Fase de Grupos'!BB30,'Pollas Fase de Grupos'!$BC$2,"EMPATE"))</f>
        <v>Alemania</v>
      </c>
      <c r="BA30" s="85">
        <f>PUNTAJE_GANADORES('Pollas Fase de Grupos'!BB30,'Resultados Oficiales Fase de Gr'!$D$36,'Pollas Fase de Grupos'!BC30,'Resultados Oficiales Fase de Gr'!$E$36,AZ30,'Resultados Oficiales Fase de Gr'!$G$36)</f>
        <v>0</v>
      </c>
      <c r="BB30" s="85" t="str">
        <f>IF('Pollas Fase de Grupos'!BD30&gt;'Pollas Fase de Grupos'!BE30,'Pollas Fase de Grupos'!$BD$2,IF('Pollas Fase de Grupos'!BE30&gt;'Pollas Fase de Grupos'!BD30,'Pollas Fase de Grupos'!$BE$2,"EMPATE"))</f>
        <v>España</v>
      </c>
      <c r="BC30" s="85">
        <f>PUNTAJE_GANADORES('Pollas Fase de Grupos'!BD30,'Resultados Oficiales Fase de Gr'!$D$37,'Pollas Fase de Grupos'!BE30,'Resultados Oficiales Fase de Gr'!$E$37,BB30,'Resultados Oficiales Fase de Gr'!$G$37)</f>
        <v>1</v>
      </c>
      <c r="BD30" s="85" t="str">
        <f>IF('Pollas Fase de Grupos'!BF30&gt;'Pollas Fase de Grupos'!BG30,'Pollas Fase de Grupos'!$BF$2,IF('Pollas Fase de Grupos'!BG30&gt;'Pollas Fase de Grupos'!BF30,'Pollas Fase de Grupos'!$BG$2,"EMPATE"))</f>
        <v>Costa Rica</v>
      </c>
      <c r="BE30" s="85">
        <f>PUNTAJE_GANADORES('Pollas Fase de Grupos'!BF30,'Resultados Oficiales Fase de Gr'!$D$38,'Pollas Fase de Grupos'!BG30,'Resultados Oficiales Fase de Gr'!$E$38,BD30,'Resultados Oficiales Fase de Gr'!$G$38)</f>
        <v>5</v>
      </c>
      <c r="BF30" s="85" t="str">
        <f>IF('Pollas Fase de Grupos'!BH30&gt;'Pollas Fase de Grupos'!BI30,'Pollas Fase de Grupos'!$BH$2,IF('Pollas Fase de Grupos'!BI30&gt;'Pollas Fase de Grupos'!BH30,'Pollas Fase de Grupos'!$BI$2,"EMPATE"))</f>
        <v>España</v>
      </c>
      <c r="BG30" s="85">
        <f>PUNTAJE_GANADORES('Pollas Fase de Grupos'!BH30,'Resultados Oficiales Fase de Gr'!$D$39,'Pollas Fase de Grupos'!BI30,'Resultados Oficiales Fase de Gr'!$E$39,BF30,'Resultados Oficiales Fase de Gr'!$G$39)</f>
        <v>0</v>
      </c>
      <c r="BH30" s="85" t="str">
        <f>IF('Pollas Fase de Grupos'!BJ30&gt;'Pollas Fase de Grupos'!BK30,'Pollas Fase de Grupos'!$BJ$2,IF('Pollas Fase de Grupos'!BK30&gt;'Pollas Fase de Grupos'!BJ30,'Pollas Fase de Grupos'!$BK$2,"EMPATE"))</f>
        <v>Alemania</v>
      </c>
      <c r="BI30" s="85">
        <f>PUNTAJE_GANADORES('Pollas Fase de Grupos'!BJ30,'Resultados Oficiales Fase de Gr'!$D$40,'Pollas Fase de Grupos'!BK30,'Resultados Oficiales Fase de Gr'!$E$40,BH30,'Resultados Oficiales Fase de Gr'!$G$40)</f>
        <v>2</v>
      </c>
      <c r="BJ30" s="85" t="str">
        <f>IF('Pollas Fase de Grupos'!BL30&gt;'Pollas Fase de Grupos'!BM30,'Pollas Fase de Grupos'!$BL$2,IF('Pollas Fase de Grupos'!BM30&gt;'Pollas Fase de Grupos'!BL30,'Pollas Fase de Grupos'!$BM$2,"EMPATE"))</f>
        <v>Canada</v>
      </c>
      <c r="BK30" s="85">
        <f>PUNTAJE_GANADORES('Pollas Fase de Grupos'!BL30,'Resultados Oficiales Fase de Gr'!$D$43,'Pollas Fase de Grupos'!BM30,'Resultados Oficiales Fase de Gr'!$E$43,BJ30,'Resultados Oficiales Fase de Gr'!$G$43)</f>
        <v>1</v>
      </c>
      <c r="BL30" s="85" t="str">
        <f>IF('Pollas Fase de Grupos'!BN30&gt;'Pollas Fase de Grupos'!BO30,'Pollas Fase de Grupos'!$BN$2,IF('Pollas Fase de Grupos'!BO30&gt;'Pollas Fase de Grupos'!BN30,'Pollas Fase de Grupos'!$BO$2,"EMPATE"))</f>
        <v>Croacia</v>
      </c>
      <c r="BM30" s="85">
        <f>PUNTAJE_GANADORES('Pollas Fase de Grupos'!BN30,'Resultados Oficiales Fase de Gr'!$D$44,'Pollas Fase de Grupos'!BO30,'Resultados Oficiales Fase de Gr'!$E$44,BL30,'Resultados Oficiales Fase de Gr'!$G$44)</f>
        <v>1</v>
      </c>
      <c r="BN30" s="85" t="str">
        <f>IF('Pollas Fase de Grupos'!BP30&gt;'Pollas Fase de Grupos'!BQ30,'Pollas Fase de Grupos'!$BP$2,IF('Pollas Fase de Grupos'!BQ30&gt;'Pollas Fase de Grupos'!BP30,'Pollas Fase de Grupos'!$BQ$2,"EMPATE"))</f>
        <v>Belgica</v>
      </c>
      <c r="BO30" s="85">
        <f>PUNTAJE_GANADORES('Pollas Fase de Grupos'!BP30,'Resultados Oficiales Fase de Gr'!$D$45,'Pollas Fase de Grupos'!BQ30,'Resultados Oficiales Fase de Gr'!$E$45,BN30,'Resultados Oficiales Fase de Gr'!$G$45)</f>
        <v>0</v>
      </c>
      <c r="BP30" s="85" t="str">
        <f>IF('Pollas Fase de Grupos'!BR30&gt;'Pollas Fase de Grupos'!BS30,'Pollas Fase de Grupos'!$BR$2,IF('Pollas Fase de Grupos'!BS30&gt;'Pollas Fase de Grupos'!BR30,'Pollas Fase de Grupos'!$BS$2,"EMPATE"))</f>
        <v>Croacia</v>
      </c>
      <c r="BQ30" s="85">
        <f>PUNTAJE_GANADORES('Pollas Fase de Grupos'!BR30,'Resultados Oficiales Fase de Gr'!$D$46,'Pollas Fase de Grupos'!BS30,'Resultados Oficiales Fase de Gr'!$E$46,BP30,'Resultados Oficiales Fase de Gr'!$G$46)</f>
        <v>2</v>
      </c>
      <c r="BR30" s="85" t="str">
        <f>IF('Pollas Fase de Grupos'!BT30&gt;'Pollas Fase de Grupos'!BU30,'Pollas Fase de Grupos'!$BT$2,IF('Pollas Fase de Grupos'!BU30&gt;'Pollas Fase de Grupos'!BT30,'Pollas Fase de Grupos'!$BU$2,"EMPATE"))</f>
        <v>Belgica</v>
      </c>
      <c r="BS30" s="85">
        <f>PUNTAJE_GANADORES('Pollas Fase de Grupos'!BT30,'Resultados Oficiales Fase de Gr'!$D$47,'Pollas Fase de Grupos'!BU30,'Resultados Oficiales Fase de Gr'!$E$47,BR30,'Resultados Oficiales Fase de Gr'!$G$47)</f>
        <v>0</v>
      </c>
      <c r="BT30" s="85" t="str">
        <f>IF('Pollas Fase de Grupos'!BV30&gt;'Pollas Fase de Grupos'!BW30,'Pollas Fase de Grupos'!$BV$2,IF('Pollas Fase de Grupos'!BW30&gt;'Pollas Fase de Grupos'!BV30,'Pollas Fase de Grupos'!$BW$2,"EMPATE"))</f>
        <v>Canada</v>
      </c>
      <c r="BU30" s="85">
        <f>PUNTAJE_GANADORES('Pollas Fase de Grupos'!BV30,'Resultados Oficiales Fase de Gr'!$D$48,'Pollas Fase de Grupos'!BW30,'Resultados Oficiales Fase de Gr'!$E$48,BT30,'Resultados Oficiales Fase de Gr'!$G$48)</f>
        <v>1</v>
      </c>
      <c r="BV30" s="85" t="str">
        <f>IF('Pollas Fase de Grupos'!BX30&gt;'Pollas Fase de Grupos'!BY30,'Pollas Fase de Grupos'!$BX$2,IF('Pollas Fase de Grupos'!BY30&gt;'Pollas Fase de Grupos'!BX30,'Pollas Fase de Grupos'!$BY$2,"EMPATE"))</f>
        <v>Brasil</v>
      </c>
      <c r="BW30" s="85">
        <f>PUNTAJE_GANADORES('Pollas Fase de Grupos'!BX30,'Resultados Oficiales Fase de Gr'!$D$51,'Pollas Fase de Grupos'!BY30,'Resultados Oficiales Fase de Gr'!$E$51,BV30,'Resultados Oficiales Fase de Gr'!$G$51)</f>
        <v>3</v>
      </c>
      <c r="BX30" s="85" t="str">
        <f>IF('Pollas Fase de Grupos'!BZ30&gt;'Pollas Fase de Grupos'!CA30,'Pollas Fase de Grupos'!$BZ$2,IF('Pollas Fase de Grupos'!CA30&gt;'Pollas Fase de Grupos'!BZ30,'Pollas Fase de Grupos'!$CA$2,"EMPATE"))</f>
        <v>Camerun</v>
      </c>
      <c r="BY30" s="85">
        <f>PUNTAJE_GANADORES('Pollas Fase de Grupos'!BZ30,'Resultados Oficiales Fase de Gr'!$D$52,'Pollas Fase de Grupos'!CA30,'Resultados Oficiales Fase de Gr'!$E$52,BX30,'Resultados Oficiales Fase de Gr'!$G$52)</f>
        <v>1</v>
      </c>
      <c r="BZ30" s="85" t="str">
        <f>IF('Pollas Fase de Grupos'!CB30&gt;'Pollas Fase de Grupos'!CC30,'Pollas Fase de Grupos'!$CB$2,IF('Pollas Fase de Grupos'!CC30&gt;'Pollas Fase de Grupos'!CB30,'Pollas Fase de Grupos'!$CC$2,"EMPATE"))</f>
        <v>Brasil</v>
      </c>
      <c r="CA30" s="85">
        <f>PUNTAJE_GANADORES('Pollas Fase de Grupos'!CB30,'Resultados Oficiales Fase de Gr'!$D$53,'Pollas Fase de Grupos'!CC30,'Resultados Oficiales Fase de Gr'!$E$53,BZ30,'Resultados Oficiales Fase de Gr'!$G$53)</f>
        <v>3</v>
      </c>
      <c r="CB30" s="85" t="str">
        <f>IF('Pollas Fase de Grupos'!CD30&gt;'Pollas Fase de Grupos'!CE30,'Pollas Fase de Grupos'!$CD$2,IF('Pollas Fase de Grupos'!CE30&gt;'Pollas Fase de Grupos'!CD30,'Pollas Fase de Grupos'!$CE$2,"EMPATE"))</f>
        <v>Camerun</v>
      </c>
      <c r="CC30" s="85">
        <f>PUNTAJE_GANADORES('Pollas Fase de Grupos'!CD30,'Resultados Oficiales Fase de Gr'!$D$54,'Pollas Fase de Grupos'!CE30,'Resultados Oficiales Fase de Gr'!$E$54,CB30,'Resultados Oficiales Fase de Gr'!$G$54)</f>
        <v>0</v>
      </c>
      <c r="CD30" s="85" t="str">
        <f>IF('Pollas Fase de Grupos'!CF30&gt;'Pollas Fase de Grupos'!CG30,'Pollas Fase de Grupos'!$CF$2,IF('Pollas Fase de Grupos'!CG30&gt;'Pollas Fase de Grupos'!CF30,'Pollas Fase de Grupos'!$CG$2,"EMPATE"))</f>
        <v>Brasil</v>
      </c>
      <c r="CE30" s="85">
        <f>PUNTAJE_GANADORES('Pollas Fase de Grupos'!CF30,'Resultados Oficiales Fase de Gr'!$D$55,'Pollas Fase de Grupos'!CG30,'Resultados Oficiales Fase de Gr'!$E$55,CD30,'Resultados Oficiales Fase de Gr'!$G$55)</f>
        <v>1</v>
      </c>
      <c r="CF30" s="85" t="str">
        <f>IF('Pollas Fase de Grupos'!CH30&gt;'Pollas Fase de Grupos'!CI30,'Pollas Fase de Grupos'!$CH$2,IF('Pollas Fase de Grupos'!CI30&gt;'Pollas Fase de Grupos'!CH30,'Pollas Fase de Grupos'!$CI$2,"EMPATE"))</f>
        <v>Suiza</v>
      </c>
      <c r="CG30" s="85">
        <f>PUNTAJE_GANADORES('Pollas Fase de Grupos'!CH30,'Resultados Oficiales Fase de Gr'!$D$56,'Pollas Fase de Grupos'!CI30,'Resultados Oficiales Fase de Gr'!$E$56,CF30,'Resultados Oficiales Fase de Gr'!$G$56)</f>
        <v>2</v>
      </c>
      <c r="CH30" s="85" t="str">
        <f>IF('Pollas Fase de Grupos'!CJ30&gt;'Pollas Fase de Grupos'!CK30,'Pollas Fase de Grupos'!$CJ$2,IF('Pollas Fase de Grupos'!CK30&gt;'Pollas Fase de Grupos'!CJ30,'Pollas Fase de Grupos'!$CK$2,"EMPATE"))</f>
        <v>Portugal</v>
      </c>
      <c r="CI30" s="85">
        <f>PUNTAJE_GANADORES('Pollas Fase de Grupos'!CJ30,'Resultados Oficiales Fase de Gr'!$D$59,'Pollas Fase de Grupos'!CK30,'Resultados Oficiales Fase de Gr'!$E$59,CH30,'Resultados Oficiales Fase de Gr'!$G$59)</f>
        <v>3</v>
      </c>
      <c r="CJ30" s="85" t="str">
        <f>IF('Pollas Fase de Grupos'!CL30&gt;'Pollas Fase de Grupos'!CM30,'Pollas Fase de Grupos'!$CL$2,IF('Pollas Fase de Grupos'!CM30&gt;'Pollas Fase de Grupos'!CL30,'Pollas Fase de Grupos'!$CM$2,"EMPATE"))</f>
        <v>Uruguay</v>
      </c>
      <c r="CK30" s="85">
        <f>PUNTAJE_GANADORES('Pollas Fase de Grupos'!CL30,'Resultados Oficiales Fase de Gr'!$D$60,'Pollas Fase de Grupos'!CM30,'Resultados Oficiales Fase de Gr'!$E$60,CJ30,'Resultados Oficiales Fase de Gr'!$G$60)</f>
        <v>1</v>
      </c>
      <c r="CL30" s="85" t="str">
        <f>IF('Pollas Fase de Grupos'!CN30&gt;'Pollas Fase de Grupos'!CO30,'Pollas Fase de Grupos'!$CN$2,IF('Pollas Fase de Grupos'!CO30&gt;'Pollas Fase de Grupos'!CN30,'Pollas Fase de Grupos'!$CO$2,"EMPATE"))</f>
        <v>Uruguay</v>
      </c>
      <c r="CM30" s="85">
        <f>PUNTAJE_GANADORES('Pollas Fase de Grupos'!CN30,'Resultados Oficiales Fase de Gr'!$D$61,'Pollas Fase de Grupos'!CO30,'Resultados Oficiales Fase de Gr'!$E$61,CL30,'Resultados Oficiales Fase de Gr'!$G$61)</f>
        <v>0</v>
      </c>
      <c r="CN30" s="85" t="str">
        <f>IF('Pollas Fase de Grupos'!CP30&gt;'Pollas Fase de Grupos'!CQ30,'Pollas Fase de Grupos'!$CP$2,IF('Pollas Fase de Grupos'!CQ30&gt;'Pollas Fase de Grupos'!CP30,'Pollas Fase de Grupos'!$CQ$2,"EMPATE"))</f>
        <v>Corea del Sur</v>
      </c>
      <c r="CO30" s="85">
        <f>PUNTAJE_GANADORES('Pollas Fase de Grupos'!CP30,'Resultados Oficiales Fase de Gr'!$D$62,'Pollas Fase de Grupos'!CQ30,'Resultados Oficiales Fase de Gr'!$E$62,CN30,'Resultados Oficiales Fase de Gr'!$G$62)</f>
        <v>0</v>
      </c>
      <c r="CP30" s="85" t="str">
        <f>IF('Pollas Fase de Grupos'!CR30&gt;'Pollas Fase de Grupos'!CS30,'Pollas Fase de Grupos'!$CR$2,IF('Pollas Fase de Grupos'!CS30&gt;'Pollas Fase de Grupos'!CR30,'Pollas Fase de Grupos'!$CS$2,"EMPATE"))</f>
        <v>Portugal</v>
      </c>
      <c r="CQ30" s="85">
        <f>PUNTAJE_GANADORES('Pollas Fase de Grupos'!CR30,'Resultados Oficiales Fase de Gr'!$D$63,'Pollas Fase de Grupos'!CS30,'Resultados Oficiales Fase de Gr'!$E$63,CP30,'Resultados Oficiales Fase de Gr'!$G$63)</f>
        <v>0</v>
      </c>
      <c r="CR30" s="85" t="str">
        <f>IF('Pollas Fase de Grupos'!CT30&gt;'Pollas Fase de Grupos'!CU30,'Pollas Fase de Grupos'!$CT$2,IF('Pollas Fase de Grupos'!CU30&gt;'Pollas Fase de Grupos'!CT30,'Pollas Fase de Grupos'!$CU$2,"EMPATE"))</f>
        <v>Uruguay</v>
      </c>
      <c r="CS30" s="85">
        <f>PUNTAJE_GANADORES('Pollas Fase de Grupos'!CT30,'Resultados Oficiales Fase de Gr'!$D$64,'Pollas Fase de Grupos'!CU30,'Resultados Oficiales Fase de Gr'!$E$64,CR30,'Resultados Oficiales Fase de Gr'!$G$64)</f>
        <v>3</v>
      </c>
      <c r="CT30" s="4">
        <f t="shared" si="1"/>
        <v>73</v>
      </c>
      <c r="CU30" s="17">
        <v>51.0</v>
      </c>
      <c r="CV30" s="3">
        <f t="shared" si="2"/>
        <v>76</v>
      </c>
    </row>
    <row r="31">
      <c r="A31" s="3" t="str">
        <f>'Pollas Fase de Grupos'!CV31</f>
        <v>Leonardo Valencia Valencia</v>
      </c>
      <c r="B31" s="4" t="str">
        <f>IF('Pollas Fase de Grupos'!D31&gt;'Pollas Fase de Grupos'!E31,'Pollas Fase de Grupos'!$D$2,IF('Pollas Fase de Grupos'!E31&gt;'Pollas Fase de Grupos'!D31,'Pollas Fase de Grupos'!$E$2,"EMPATE"))</f>
        <v>EMPATE</v>
      </c>
      <c r="C31" s="4">
        <f>PUNTAJE_GANADORES('Pollas Fase de Grupos'!D31,'Resultados Oficiales Fase de Gr'!$D$3,'Pollas Fase de Grupos'!E31,'Resultados Oficiales Fase de Gr'!$E$3,B31,'Resultados Oficiales Fase de Gr'!$G$3)</f>
        <v>0</v>
      </c>
      <c r="D31" s="85" t="str">
        <f>IF('Pollas Fase de Grupos'!F31&gt;'Pollas Fase de Grupos'!G31,'Pollas Fase de Grupos'!$F$2,IF('Pollas Fase de Grupos'!G31&gt;'Pollas Fase de Grupos'!F31,'Pollas Fase de Grupos'!$G$2,"EMPATE"))</f>
        <v>Paises Bajos</v>
      </c>
      <c r="E31" s="4">
        <f>PUNTAJE_GANADORES('Pollas Fase de Grupos'!F31,'Resultados Oficiales Fase de Gr'!$D$4,'Pollas Fase de Grupos'!G31,'Resultados Oficiales Fase de Gr'!$E$4,D31,'Resultados Oficiales Fase de Gr'!$G$4)</f>
        <v>3</v>
      </c>
      <c r="F31" s="85" t="str">
        <f>IF('Pollas Fase de Grupos'!H31&gt;'Pollas Fase de Grupos'!I31,'Pollas Fase de Grupos'!$H$2,IF('Pollas Fase de Grupos'!I31&gt;'Pollas Fase de Grupos'!H31,'Pollas Fase de Grupos'!$I$2,"EMPATE"))</f>
        <v>Qatar</v>
      </c>
      <c r="G31" s="4">
        <f>PUNTAJE_GANADORES('Pollas Fase de Grupos'!H31,'Resultados Oficiales Fase de Gr'!$D$5,'Pollas Fase de Grupos'!I31,'Resultados Oficiales Fase de Gr'!$E$5,F31,'Resultados Oficiales Fase de Gr'!$G$5)</f>
        <v>0</v>
      </c>
      <c r="H31" s="85" t="str">
        <f>IF('Pollas Fase de Grupos'!J31&gt;'Pollas Fase de Grupos'!K31,'Pollas Fase de Grupos'!$J$2,IF('Pollas Fase de Grupos'!K31&gt;'Pollas Fase de Grupos'!J31,'Pollas Fase de Grupos'!$K$2,"EMPATE"))</f>
        <v>Paises Bajos</v>
      </c>
      <c r="I31" s="4">
        <f>PUNTAJE_GANADORES('Pollas Fase de Grupos'!J31,'Resultados Oficiales Fase de Gr'!$D$6,'Pollas Fase de Grupos'!K31,'Resultados Oficiales Fase de Gr'!$E$6,H31,'Resultados Oficiales Fase de Gr'!$G$6)</f>
        <v>1</v>
      </c>
      <c r="J31" s="85" t="str">
        <f>IF('Pollas Fase de Grupos'!L31&gt;'Pollas Fase de Grupos'!M31,'Pollas Fase de Grupos'!$L$2,IF('Pollas Fase de Grupos'!M31&gt;'Pollas Fase de Grupos'!L31,'Pollas Fase de Grupos'!$M$2,"EMPATE"))</f>
        <v>Paises Bajos</v>
      </c>
      <c r="K31" s="4">
        <f>PUNTAJE_GANADORES('Pollas Fase de Grupos'!L31,'Resultados Oficiales Fase de Gr'!$D$7,'Pollas Fase de Grupos'!M31,'Resultados Oficiales Fase de Gr'!$E$7,J31,'Resultados Oficiales Fase de Gr'!$G$7)</f>
        <v>3</v>
      </c>
      <c r="L31" s="85" t="str">
        <f>IF('Pollas Fase de Grupos'!N31&gt;'Pollas Fase de Grupos'!O31,'Pollas Fase de Grupos'!$N$2,IF('Pollas Fase de Grupos'!O31&gt;'Pollas Fase de Grupos'!N31,'Pollas Fase de Grupos'!$O$2,"EMPATE"))</f>
        <v>Ecuador</v>
      </c>
      <c r="M31" s="85">
        <f>PUNTAJE_GANADORES('Pollas Fase de Grupos'!N31,'Resultados Oficiales Fase de Gr'!$D$8,'Pollas Fase de Grupos'!O31,'Resultados Oficiales Fase de Gr'!$E$8,L31,'Resultados Oficiales Fase de Gr'!$G$8)</f>
        <v>1</v>
      </c>
      <c r="N31" s="85" t="str">
        <f>IF('Pollas Fase de Grupos'!P31&gt;'Pollas Fase de Grupos'!Q31,'Pollas Fase de Grupos'!$P$2,IF('Pollas Fase de Grupos'!Q31&gt;'Pollas Fase de Grupos'!P31,'Pollas Fase de Grupos'!$Q$2,"EMPATE"))</f>
        <v>Inglaterra</v>
      </c>
      <c r="O31" s="85">
        <f>PUNTAJE_GANADORES('Pollas Fase de Grupos'!P31,'Resultados Oficiales Fase de Gr'!$D$11,'Pollas Fase de Grupos'!Q31,'Resultados Oficiales Fase de Gr'!$E$11,N31,'Resultados Oficiales Fase de Gr'!$G$11)</f>
        <v>2</v>
      </c>
      <c r="P31" s="4" t="str">
        <f>IF('Pollas Fase de Grupos'!R31&gt;'Pollas Fase de Grupos'!S31,'Pollas Fase de Grupos'!$R$2,IF('Pollas Fase de Grupos'!S31&gt;'Pollas Fase de Grupos'!R31,'Pollas Fase de Grupos'!$S$2,"EMPATE"))</f>
        <v>Estados Unidos</v>
      </c>
      <c r="Q31" s="85">
        <f>PUNTAJE_GANADORES('Pollas Fase de Grupos'!R31,'Resultados Oficiales Fase de Gr'!$D$12,'Pollas Fase de Grupos'!S31,'Resultados Oficiales Fase de Gr'!$E$12,P31,'Resultados Oficiales Fase de Gr'!$G$12)</f>
        <v>1</v>
      </c>
      <c r="R31" s="85" t="str">
        <f>IF('Pollas Fase de Grupos'!T31&gt;'Pollas Fase de Grupos'!U31,'Pollas Fase de Grupos'!$T$2,IF('Pollas Fase de Grupos'!U31&gt;'Pollas Fase de Grupos'!T31,'Pollas Fase de Grupos'!$U$2,"EMPATE"))</f>
        <v>Inglaterra</v>
      </c>
      <c r="S31" s="4">
        <f>PUNTAJE_GANADORES('Pollas Fase de Grupos'!T31,'Resultados Oficiales Fase de Gr'!$D$13,'Pollas Fase de Grupos'!U31,'Resultados Oficiales Fase de Gr'!$E$13,R31,'Resultados Oficiales Fase de Gr'!$G$13)</f>
        <v>0</v>
      </c>
      <c r="T31" s="85" t="str">
        <f>IF('Pollas Fase de Grupos'!V31&gt;'Pollas Fase de Grupos'!W31,'Pollas Fase de Grupos'!$V$2,IF('Pollas Fase de Grupos'!W31&gt;'Pollas Fase de Grupos'!V31,'Pollas Fase de Grupos'!$W$2,"EMPATE"))</f>
        <v>EMPATE</v>
      </c>
      <c r="U31" s="86">
        <f>PUNTAJE_GANADORES('Pollas Fase de Grupos'!V31,'Resultados Oficiales Fase de Gr'!$D$14,'Pollas Fase de Grupos'!W31,'Resultados Oficiales Fase de Gr'!$E$14,T31,'Resultados Oficiales Fase de Gr'!$G$14)</f>
        <v>0</v>
      </c>
      <c r="V31" s="85" t="str">
        <f>IF('Pollas Fase de Grupos'!X31&gt;'Pollas Fase de Grupos'!Y31,'Pollas Fase de Grupos'!$X$2,IF('Pollas Fase de Grupos'!Y31&gt;'Pollas Fase de Grupos'!X31,'Pollas Fase de Grupos'!$Y$2,"EMPATE"))</f>
        <v>Inglaterra</v>
      </c>
      <c r="W31" s="85">
        <f>PUNTAJE_GANADORES('Pollas Fase de Grupos'!X31,'Resultados Oficiales Fase de Gr'!$D$15,'Pollas Fase de Grupos'!Y31,'Resultados Oficiales Fase de Gr'!$E$15,V31,'Resultados Oficiales Fase de Gr'!$G$15)</f>
        <v>3</v>
      </c>
      <c r="X31" s="85" t="str">
        <f>IF('Pollas Fase de Grupos'!Z31&gt;'Pollas Fase de Grupos'!AA31,'Pollas Fase de Grupos'!$Z$2,IF('Pollas Fase de Grupos'!AA31&gt;'Pollas Fase de Grupos'!Z31,'Pollas Fase de Grupos'!$AA$2,"EMPATE"))</f>
        <v>Estados Unidos</v>
      </c>
      <c r="Y31" s="87">
        <f>PUNTAJE_GANADORES('Pollas Fase de Grupos'!Z31,'Resultados Oficiales Fase de Gr'!$D$16,'Pollas Fase de Grupos'!AA31,'Resultados Oficiales Fase de Gr'!$E$16,X31,'Resultados Oficiales Fase de Gr'!$G$16)</f>
        <v>5</v>
      </c>
      <c r="Z31" s="85" t="str">
        <f>IF('Pollas Fase de Grupos'!AB31&gt;'Pollas Fase de Grupos'!AC31,'Pollas Fase de Grupos'!$AB$2,IF('Pollas Fase de Grupos'!AC31&gt;'Pollas Fase de Grupos'!AB31,'Pollas Fase de Grupos'!$AC$2,"EMPATE"))</f>
        <v>Argentina</v>
      </c>
      <c r="AA31" s="85">
        <f>PUNTAJE_GANADORES('Pollas Fase de Grupos'!AB31,'Resultados Oficiales Fase de Gr'!$D$19,'Pollas Fase de Grupos'!AC31,'Resultados Oficiales Fase de Gr'!$E$19,Z31,'Resultados Oficiales Fase de Gr'!$G$19)</f>
        <v>0</v>
      </c>
      <c r="AB31" s="85" t="str">
        <f>IF('Pollas Fase de Grupos'!AD31&gt;'Pollas Fase de Grupos'!AE31,'Pollas Fase de Grupos'!$AD$2,IF('Pollas Fase de Grupos'!AE31&gt;'Pollas Fase de Grupos'!AD31,'Pollas Fase de Grupos'!$AE$2,"EMPATE"))</f>
        <v>EMPATE</v>
      </c>
      <c r="AC31" s="85">
        <f>PUNTAJE_GANADORES('Pollas Fase de Grupos'!AD31,'Resultados Oficiales Fase de Gr'!$D$20,'Pollas Fase de Grupos'!AE31,'Resultados Oficiales Fase de Gr'!$E$20,AB31,'Resultados Oficiales Fase de Gr'!$G$20)</f>
        <v>1</v>
      </c>
      <c r="AD31" s="85" t="str">
        <f>IF('Pollas Fase de Grupos'!AF31&gt;'Pollas Fase de Grupos'!AG31,'Pollas Fase de Grupos'!$AF$2,IF('Pollas Fase de Grupos'!AG31&gt;'Pollas Fase de Grupos'!AF31,'Pollas Fase de Grupos'!$AG$2,"EMPATE"))</f>
        <v>Argentina</v>
      </c>
      <c r="AE31" s="85">
        <f>PUNTAJE_GANADORES('Pollas Fase de Grupos'!AF31,'Resultados Oficiales Fase de Gr'!$D$21,'Pollas Fase de Grupos'!AG31,'Resultados Oficiales Fase de Gr'!$E$21,AD31,'Resultados Oficiales Fase de Gr'!$G$21)</f>
        <v>3</v>
      </c>
      <c r="AF31" s="85" t="str">
        <f>IF('Pollas Fase de Grupos'!AH31&gt;'Pollas Fase de Grupos'!AI31,'Pollas Fase de Grupos'!$AH$2,IF('Pollas Fase de Grupos'!AI31&gt;'Pollas Fase de Grupos'!AH31,'Pollas Fase de Grupos'!$AI$2,"EMPATE"))</f>
        <v>EMPATE</v>
      </c>
      <c r="AG31" s="85">
        <f>PUNTAJE_GANADORES('Pollas Fase de Grupos'!AH31,'Resultados Oficiales Fase de Gr'!$D$22,'Pollas Fase de Grupos'!AI31,'Resultados Oficiales Fase de Gr'!$E$22,AF31,'Resultados Oficiales Fase de Gr'!$G$22)</f>
        <v>1</v>
      </c>
      <c r="AH31" s="85" t="str">
        <f>IF('Pollas Fase de Grupos'!AJ31&gt;'Pollas Fase de Grupos'!AK31,'Pollas Fase de Grupos'!$AJ$2,IF('Pollas Fase de Grupos'!AK31&gt;'Pollas Fase de Grupos'!AJ31,'Pollas Fase de Grupos'!$AK$2,"EMPATE"))</f>
        <v>Argentina</v>
      </c>
      <c r="AI31" s="85">
        <f>PUNTAJE_GANADORES('Pollas Fase de Grupos'!AJ31,'Resultados Oficiales Fase de Gr'!$D$23,'Pollas Fase de Grupos'!AK31,'Resultados Oficiales Fase de Gr'!$E$23,AH31,'Resultados Oficiales Fase de Gr'!$G$23)</f>
        <v>5</v>
      </c>
      <c r="AJ31" s="85" t="str">
        <f>IF('Pollas Fase de Grupos'!AL31&gt;'Pollas Fase de Grupos'!AM31,'Pollas Fase de Grupos'!$AL$2,IF('Pollas Fase de Grupos'!AM31&gt;'Pollas Fase de Grupos'!AL31,'Pollas Fase de Grupos'!$AM$2,"EMPATE"))</f>
        <v>Mexico</v>
      </c>
      <c r="AK31" s="85">
        <f>PUNTAJE_GANADORES('Pollas Fase de Grupos'!AL31,'Resultados Oficiales Fase de Gr'!$D$24,'Pollas Fase de Grupos'!AM31,'Resultados Oficiales Fase de Gr'!$E$24,AJ31,'Resultados Oficiales Fase de Gr'!$G$24)</f>
        <v>5</v>
      </c>
      <c r="AL31" s="85" t="str">
        <f>IF('Pollas Fase de Grupos'!AN31&gt;'Pollas Fase de Grupos'!AO31,'Pollas Fase de Grupos'!$AN$2,IF('Pollas Fase de Grupos'!AO31&gt;'Pollas Fase de Grupos'!AN31,'Pollas Fase de Grupos'!$AO$2,"EMPATE"))</f>
        <v>Francia</v>
      </c>
      <c r="AM31" s="85">
        <f>PUNTAJE_GANADORES('Pollas Fase de Grupos'!AN31,'Resultados Oficiales Fase de Gr'!$D$27,'Pollas Fase de Grupos'!AO31,'Resultados Oficiales Fase de Gr'!$E$27,AL31,'Resultados Oficiales Fase de Gr'!$G$27)</f>
        <v>2</v>
      </c>
      <c r="AN31" s="85" t="str">
        <f>IF('Pollas Fase de Grupos'!AP31&gt;'Pollas Fase de Grupos'!AQ31,'Pollas Fase de Grupos'!$AP$2,IF('Pollas Fase de Grupos'!AQ31&gt;'Pollas Fase de Grupos'!AP31,'Pollas Fase de Grupos'!$AQ$2,"EMPATE"))</f>
        <v>Dinamarca</v>
      </c>
      <c r="AO31" s="85">
        <f>PUNTAJE_GANADORES('Pollas Fase de Grupos'!AP31,'Resultados Oficiales Fase de Gr'!$D$28,'Pollas Fase de Grupos'!AQ31,'Resultados Oficiales Fase de Gr'!$E$28,AN31,'Resultados Oficiales Fase de Gr'!$G$28)</f>
        <v>1</v>
      </c>
      <c r="AP31" s="85" t="str">
        <f>IF('Pollas Fase de Grupos'!AR31&gt;'Pollas Fase de Grupos'!AS31,'Pollas Fase de Grupos'!$AR$2,IF('Pollas Fase de Grupos'!AS31&gt;'Pollas Fase de Grupos'!AR31,'Pollas Fase de Grupos'!$AS$2,"EMPATE"))</f>
        <v>Francia</v>
      </c>
      <c r="AQ31" s="85">
        <f>PUNTAJE_GANADORES('Pollas Fase de Grupos'!AR31,'Resultados Oficiales Fase de Gr'!$D$29,'Pollas Fase de Grupos'!AS31,'Resultados Oficiales Fase de Gr'!$E$29,AP31,'Resultados Oficiales Fase de Gr'!$G$29)</f>
        <v>5</v>
      </c>
      <c r="AR31" s="85" t="str">
        <f>IF('Pollas Fase de Grupos'!AT31&gt;'Pollas Fase de Grupos'!AU31,'Pollas Fase de Grupos'!$AT$2,IF('Pollas Fase de Grupos'!AU31&gt;'Pollas Fase de Grupos'!AT31,'Pollas Fase de Grupos'!$AU$2,"EMPATE"))</f>
        <v>Australia</v>
      </c>
      <c r="AS31" s="85">
        <f>PUNTAJE_GANADORES('Pollas Fase de Grupos'!AT31,'Resultados Oficiales Fase de Gr'!$D$30,'Pollas Fase de Grupos'!AU31,'Resultados Oficiales Fase de Gr'!$E$30,AR31,'Resultados Oficiales Fase de Gr'!$G$30)</f>
        <v>5</v>
      </c>
      <c r="AT31" s="85" t="str">
        <f>IF('Pollas Fase de Grupos'!AV31&gt;'Pollas Fase de Grupos'!AW31,'Pollas Fase de Grupos'!$AV$2,IF('Pollas Fase de Grupos'!AW31&gt;'Pollas Fase de Grupos'!AV31,'Pollas Fase de Grupos'!$AW$2,"EMPATE"))</f>
        <v>Francia</v>
      </c>
      <c r="AU31" s="85">
        <f>PUNTAJE_GANADORES('Pollas Fase de Grupos'!AV31,'Resultados Oficiales Fase de Gr'!$D$31,'Pollas Fase de Grupos'!AW31,'Resultados Oficiales Fase de Gr'!$E$31,AT31,'Resultados Oficiales Fase de Gr'!$G$31)</f>
        <v>0</v>
      </c>
      <c r="AV31" s="85" t="str">
        <f>IF('Pollas Fase de Grupos'!AX31&gt;'Pollas Fase de Grupos'!AY31,'Pollas Fase de Grupos'!$AX$2,IF('Pollas Fase de Grupos'!AY31&gt;'Pollas Fase de Grupos'!AX31,'Pollas Fase de Grupos'!$AY$2,"EMPATE"))</f>
        <v>EMPATE</v>
      </c>
      <c r="AW31" s="85">
        <f>PUNTAJE_GANADORES('Pollas Fase de Grupos'!AX31,'Resultados Oficiales Fase de Gr'!$D$32,'Pollas Fase de Grupos'!AY31,'Resultados Oficiales Fase de Gr'!$E$32,AV31,'Resultados Oficiales Fase de Gr'!$G$32)</f>
        <v>1</v>
      </c>
      <c r="AX31" s="85" t="str">
        <f>IF('Pollas Fase de Grupos'!AZ31&gt;'Pollas Fase de Grupos'!BA31,'Pollas Fase de Grupos'!$AZ$2,IF('Pollas Fase de Grupos'!BA31&gt;'Pollas Fase de Grupos'!AZ31,'Pollas Fase de Grupos'!$BA$2,"EMPATE"))</f>
        <v>España</v>
      </c>
      <c r="AY31" s="85">
        <f>PUNTAJE_GANADORES('Pollas Fase de Grupos'!AZ31,'Resultados Oficiales Fase de Gr'!$D$35,'Pollas Fase de Grupos'!BA31,'Resultados Oficiales Fase de Gr'!$E$35,AX31,'Resultados Oficiales Fase de Gr'!$G$35)</f>
        <v>1</v>
      </c>
      <c r="AZ31" s="85" t="str">
        <f>IF('Pollas Fase de Grupos'!BB31&gt;'Pollas Fase de Grupos'!BC31,'Pollas Fase de Grupos'!$BB$2,IF('Pollas Fase de Grupos'!BC31&gt;'Pollas Fase de Grupos'!BB31,'Pollas Fase de Grupos'!$BC$2,"EMPATE"))</f>
        <v>Alemania</v>
      </c>
      <c r="BA31" s="85">
        <f>PUNTAJE_GANADORES('Pollas Fase de Grupos'!BB31,'Resultados Oficiales Fase de Gr'!$D$36,'Pollas Fase de Grupos'!BC31,'Resultados Oficiales Fase de Gr'!$E$36,AZ31,'Resultados Oficiales Fase de Gr'!$G$36)</f>
        <v>0</v>
      </c>
      <c r="BB31" s="85" t="str">
        <f>IF('Pollas Fase de Grupos'!BD31&gt;'Pollas Fase de Grupos'!BE31,'Pollas Fase de Grupos'!$BD$2,IF('Pollas Fase de Grupos'!BE31&gt;'Pollas Fase de Grupos'!BD31,'Pollas Fase de Grupos'!$BE$2,"EMPATE"))</f>
        <v>España</v>
      </c>
      <c r="BC31" s="85">
        <f>PUNTAJE_GANADORES('Pollas Fase de Grupos'!BD31,'Resultados Oficiales Fase de Gr'!$D$37,'Pollas Fase de Grupos'!BE31,'Resultados Oficiales Fase de Gr'!$E$37,BB31,'Resultados Oficiales Fase de Gr'!$G$37)</f>
        <v>1</v>
      </c>
      <c r="BD31" s="85" t="str">
        <f>IF('Pollas Fase de Grupos'!BF31&gt;'Pollas Fase de Grupos'!BG31,'Pollas Fase de Grupos'!$BF$2,IF('Pollas Fase de Grupos'!BG31&gt;'Pollas Fase de Grupos'!BF31,'Pollas Fase de Grupos'!$BG$2,"EMPATE"))</f>
        <v>Japon</v>
      </c>
      <c r="BE31" s="85">
        <f>PUNTAJE_GANADORES('Pollas Fase de Grupos'!BF31,'Resultados Oficiales Fase de Gr'!$D$38,'Pollas Fase de Grupos'!BG31,'Resultados Oficiales Fase de Gr'!$E$38,BD31,'Resultados Oficiales Fase de Gr'!$G$38)</f>
        <v>0</v>
      </c>
      <c r="BF31" s="85" t="str">
        <f>IF('Pollas Fase de Grupos'!BH31&gt;'Pollas Fase de Grupos'!BI31,'Pollas Fase de Grupos'!$BH$2,IF('Pollas Fase de Grupos'!BI31&gt;'Pollas Fase de Grupos'!BH31,'Pollas Fase de Grupos'!$BI$2,"EMPATE"))</f>
        <v>España</v>
      </c>
      <c r="BG31" s="85">
        <f>PUNTAJE_GANADORES('Pollas Fase de Grupos'!BH31,'Resultados Oficiales Fase de Gr'!$D$39,'Pollas Fase de Grupos'!BI31,'Resultados Oficiales Fase de Gr'!$E$39,BF31,'Resultados Oficiales Fase de Gr'!$G$39)</f>
        <v>0</v>
      </c>
      <c r="BH31" s="85" t="str">
        <f>IF('Pollas Fase de Grupos'!BJ31&gt;'Pollas Fase de Grupos'!BK31,'Pollas Fase de Grupos'!$BJ$2,IF('Pollas Fase de Grupos'!BK31&gt;'Pollas Fase de Grupos'!BJ31,'Pollas Fase de Grupos'!$BK$2,"EMPATE"))</f>
        <v>Alemania</v>
      </c>
      <c r="BI31" s="85">
        <f>PUNTAJE_GANADORES('Pollas Fase de Grupos'!BJ31,'Resultados Oficiales Fase de Gr'!$D$40,'Pollas Fase de Grupos'!BK31,'Resultados Oficiales Fase de Gr'!$E$40,BH31,'Resultados Oficiales Fase de Gr'!$G$40)</f>
        <v>2</v>
      </c>
      <c r="BJ31" s="85" t="str">
        <f>IF('Pollas Fase de Grupos'!BL31&gt;'Pollas Fase de Grupos'!BM31,'Pollas Fase de Grupos'!$BL$2,IF('Pollas Fase de Grupos'!BM31&gt;'Pollas Fase de Grupos'!BL31,'Pollas Fase de Grupos'!$BM$2,"EMPATE"))</f>
        <v>Belgica</v>
      </c>
      <c r="BK31" s="85">
        <f>PUNTAJE_GANADORES('Pollas Fase de Grupos'!BL31,'Resultados Oficiales Fase de Gr'!$D$43,'Pollas Fase de Grupos'!BM31,'Resultados Oficiales Fase de Gr'!$E$43,BJ31,'Resultados Oficiales Fase de Gr'!$G$43)</f>
        <v>2</v>
      </c>
      <c r="BL31" s="85" t="str">
        <f>IF('Pollas Fase de Grupos'!BN31&gt;'Pollas Fase de Grupos'!BO31,'Pollas Fase de Grupos'!$BN$2,IF('Pollas Fase de Grupos'!BO31&gt;'Pollas Fase de Grupos'!BN31,'Pollas Fase de Grupos'!$BO$2,"EMPATE"))</f>
        <v>Croacia</v>
      </c>
      <c r="BM31" s="85">
        <f>PUNTAJE_GANADORES('Pollas Fase de Grupos'!BN31,'Resultados Oficiales Fase de Gr'!$D$44,'Pollas Fase de Grupos'!BO31,'Resultados Oficiales Fase de Gr'!$E$44,BL31,'Resultados Oficiales Fase de Gr'!$G$44)</f>
        <v>1</v>
      </c>
      <c r="BN31" s="85" t="str">
        <f>IF('Pollas Fase de Grupos'!BP31&gt;'Pollas Fase de Grupos'!BQ31,'Pollas Fase de Grupos'!$BP$2,IF('Pollas Fase de Grupos'!BQ31&gt;'Pollas Fase de Grupos'!BP31,'Pollas Fase de Grupos'!$BQ$2,"EMPATE"))</f>
        <v>Belgica</v>
      </c>
      <c r="BO31" s="85">
        <f>PUNTAJE_GANADORES('Pollas Fase de Grupos'!BP31,'Resultados Oficiales Fase de Gr'!$D$45,'Pollas Fase de Grupos'!BQ31,'Resultados Oficiales Fase de Gr'!$E$45,BN31,'Resultados Oficiales Fase de Gr'!$G$45)</f>
        <v>0</v>
      </c>
      <c r="BP31" s="85" t="str">
        <f>IF('Pollas Fase de Grupos'!BR31&gt;'Pollas Fase de Grupos'!BS31,'Pollas Fase de Grupos'!$BR$2,IF('Pollas Fase de Grupos'!BS31&gt;'Pollas Fase de Grupos'!BR31,'Pollas Fase de Grupos'!$BS$2,"EMPATE"))</f>
        <v>Croacia</v>
      </c>
      <c r="BQ31" s="85">
        <f>PUNTAJE_GANADORES('Pollas Fase de Grupos'!BR31,'Resultados Oficiales Fase de Gr'!$D$46,'Pollas Fase de Grupos'!BS31,'Resultados Oficiales Fase de Gr'!$E$46,BP31,'Resultados Oficiales Fase de Gr'!$G$46)</f>
        <v>3</v>
      </c>
      <c r="BR31" s="85" t="str">
        <f>IF('Pollas Fase de Grupos'!BT31&gt;'Pollas Fase de Grupos'!BU31,'Pollas Fase de Grupos'!$BT$2,IF('Pollas Fase de Grupos'!BU31&gt;'Pollas Fase de Grupos'!BT31,'Pollas Fase de Grupos'!$BU$2,"EMPATE"))</f>
        <v>EMPATE</v>
      </c>
      <c r="BS31" s="85">
        <f>PUNTAJE_GANADORES('Pollas Fase de Grupos'!BT31,'Resultados Oficiales Fase de Gr'!$D$47,'Pollas Fase de Grupos'!BU31,'Resultados Oficiales Fase de Gr'!$E$47,BR31,'Resultados Oficiales Fase de Gr'!$G$47)</f>
        <v>1</v>
      </c>
      <c r="BT31" s="85" t="str">
        <f>IF('Pollas Fase de Grupos'!BV31&gt;'Pollas Fase de Grupos'!BW31,'Pollas Fase de Grupos'!$BV$2,IF('Pollas Fase de Grupos'!BW31&gt;'Pollas Fase de Grupos'!BV31,'Pollas Fase de Grupos'!$BW$2,"EMPATE"))</f>
        <v>Canada</v>
      </c>
      <c r="BU31" s="85">
        <f>PUNTAJE_GANADORES('Pollas Fase de Grupos'!BV31,'Resultados Oficiales Fase de Gr'!$D$48,'Pollas Fase de Grupos'!BW31,'Resultados Oficiales Fase de Gr'!$E$48,BT31,'Resultados Oficiales Fase de Gr'!$G$48)</f>
        <v>0</v>
      </c>
      <c r="BV31" s="85" t="str">
        <f>IF('Pollas Fase de Grupos'!BX31&gt;'Pollas Fase de Grupos'!BY31,'Pollas Fase de Grupos'!$BX$2,IF('Pollas Fase de Grupos'!BY31&gt;'Pollas Fase de Grupos'!BX31,'Pollas Fase de Grupos'!$BY$2,"EMPATE"))</f>
        <v>Brasil</v>
      </c>
      <c r="BW31" s="85">
        <f>PUNTAJE_GANADORES('Pollas Fase de Grupos'!BX31,'Resultados Oficiales Fase de Gr'!$D$51,'Pollas Fase de Grupos'!BY31,'Resultados Oficiales Fase de Gr'!$E$51,BV31,'Resultados Oficiales Fase de Gr'!$G$51)</f>
        <v>5</v>
      </c>
      <c r="BX31" s="85" t="str">
        <f>IF('Pollas Fase de Grupos'!BZ31&gt;'Pollas Fase de Grupos'!CA31,'Pollas Fase de Grupos'!$BZ$2,IF('Pollas Fase de Grupos'!CA31&gt;'Pollas Fase de Grupos'!BZ31,'Pollas Fase de Grupos'!$CA$2,"EMPATE"))</f>
        <v>EMPATE</v>
      </c>
      <c r="BY31" s="85">
        <f>PUNTAJE_GANADORES('Pollas Fase de Grupos'!BZ31,'Resultados Oficiales Fase de Gr'!$D$52,'Pollas Fase de Grupos'!CA31,'Resultados Oficiales Fase de Gr'!$E$52,BX31,'Resultados Oficiales Fase de Gr'!$G$52)</f>
        <v>1</v>
      </c>
      <c r="BZ31" s="85" t="str">
        <f>IF('Pollas Fase de Grupos'!CB31&gt;'Pollas Fase de Grupos'!CC31,'Pollas Fase de Grupos'!$CB$2,IF('Pollas Fase de Grupos'!CC31&gt;'Pollas Fase de Grupos'!CB31,'Pollas Fase de Grupos'!$CC$2,"EMPATE"))</f>
        <v>Brasil</v>
      </c>
      <c r="CA31" s="85">
        <f>PUNTAJE_GANADORES('Pollas Fase de Grupos'!CB31,'Resultados Oficiales Fase de Gr'!$D$53,'Pollas Fase de Grupos'!CC31,'Resultados Oficiales Fase de Gr'!$E$53,BZ31,'Resultados Oficiales Fase de Gr'!$G$53)</f>
        <v>2</v>
      </c>
      <c r="CB31" s="85" t="str">
        <f>IF('Pollas Fase de Grupos'!CD31&gt;'Pollas Fase de Grupos'!CE31,'Pollas Fase de Grupos'!$CD$2,IF('Pollas Fase de Grupos'!CE31&gt;'Pollas Fase de Grupos'!CD31,'Pollas Fase de Grupos'!$CE$2,"EMPATE"))</f>
        <v>Camerun</v>
      </c>
      <c r="CC31" s="85">
        <f>PUNTAJE_GANADORES('Pollas Fase de Grupos'!CD31,'Resultados Oficiales Fase de Gr'!$D$54,'Pollas Fase de Grupos'!CE31,'Resultados Oficiales Fase de Gr'!$E$54,CB31,'Resultados Oficiales Fase de Gr'!$G$54)</f>
        <v>0</v>
      </c>
      <c r="CD31" s="85" t="str">
        <f>IF('Pollas Fase de Grupos'!CF31&gt;'Pollas Fase de Grupos'!CG31,'Pollas Fase de Grupos'!$CF$2,IF('Pollas Fase de Grupos'!CG31&gt;'Pollas Fase de Grupos'!CF31,'Pollas Fase de Grupos'!$CG$2,"EMPATE"))</f>
        <v>Brasil</v>
      </c>
      <c r="CE31" s="85">
        <f>PUNTAJE_GANADORES('Pollas Fase de Grupos'!CF31,'Resultados Oficiales Fase de Gr'!$D$55,'Pollas Fase de Grupos'!CG31,'Resultados Oficiales Fase de Gr'!$E$55,CD31,'Resultados Oficiales Fase de Gr'!$G$55)</f>
        <v>0</v>
      </c>
      <c r="CF31" s="85" t="str">
        <f>IF('Pollas Fase de Grupos'!CH31&gt;'Pollas Fase de Grupos'!CI31,'Pollas Fase de Grupos'!$CH$2,IF('Pollas Fase de Grupos'!CI31&gt;'Pollas Fase de Grupos'!CH31,'Pollas Fase de Grupos'!$CI$2,"EMPATE"))</f>
        <v>EMPATE</v>
      </c>
      <c r="CG31" s="85">
        <f>PUNTAJE_GANADORES('Pollas Fase de Grupos'!CH31,'Resultados Oficiales Fase de Gr'!$D$56,'Pollas Fase de Grupos'!CI31,'Resultados Oficiales Fase de Gr'!$E$56,CF31,'Resultados Oficiales Fase de Gr'!$G$56)</f>
        <v>0</v>
      </c>
      <c r="CH31" s="85" t="str">
        <f>IF('Pollas Fase de Grupos'!CJ31&gt;'Pollas Fase de Grupos'!CK31,'Pollas Fase de Grupos'!$CJ$2,IF('Pollas Fase de Grupos'!CK31&gt;'Pollas Fase de Grupos'!CJ31,'Pollas Fase de Grupos'!$CK$2,"EMPATE"))</f>
        <v>Portugal</v>
      </c>
      <c r="CI31" s="85">
        <f>PUNTAJE_GANADORES('Pollas Fase de Grupos'!CJ31,'Resultados Oficiales Fase de Gr'!$D$59,'Pollas Fase de Grupos'!CK31,'Resultados Oficiales Fase de Gr'!$E$59,CH31,'Resultados Oficiales Fase de Gr'!$G$59)</f>
        <v>2</v>
      </c>
      <c r="CJ31" s="85" t="str">
        <f>IF('Pollas Fase de Grupos'!CL31&gt;'Pollas Fase de Grupos'!CM31,'Pollas Fase de Grupos'!$CL$2,IF('Pollas Fase de Grupos'!CM31&gt;'Pollas Fase de Grupos'!CL31,'Pollas Fase de Grupos'!$CM$2,"EMPATE"))</f>
        <v>Uruguay</v>
      </c>
      <c r="CK31" s="85">
        <f>PUNTAJE_GANADORES('Pollas Fase de Grupos'!CL31,'Resultados Oficiales Fase de Gr'!$D$60,'Pollas Fase de Grupos'!CM31,'Resultados Oficiales Fase de Gr'!$E$60,CJ31,'Resultados Oficiales Fase de Gr'!$G$60)</f>
        <v>0</v>
      </c>
      <c r="CL31" s="85" t="str">
        <f>IF('Pollas Fase de Grupos'!CN31&gt;'Pollas Fase de Grupos'!CO31,'Pollas Fase de Grupos'!$CN$2,IF('Pollas Fase de Grupos'!CO31&gt;'Pollas Fase de Grupos'!CN31,'Pollas Fase de Grupos'!$CO$2,"EMPATE"))</f>
        <v>EMPATE</v>
      </c>
      <c r="CM31" s="85">
        <f>PUNTAJE_GANADORES('Pollas Fase de Grupos'!CN31,'Resultados Oficiales Fase de Gr'!$D$61,'Pollas Fase de Grupos'!CO31,'Resultados Oficiales Fase de Gr'!$E$61,CL31,'Resultados Oficiales Fase de Gr'!$G$61)</f>
        <v>1</v>
      </c>
      <c r="CN31" s="85" t="str">
        <f>IF('Pollas Fase de Grupos'!CP31&gt;'Pollas Fase de Grupos'!CQ31,'Pollas Fase de Grupos'!$CP$2,IF('Pollas Fase de Grupos'!CQ31&gt;'Pollas Fase de Grupos'!CP31,'Pollas Fase de Grupos'!$CQ$2,"EMPATE"))</f>
        <v>Ghana</v>
      </c>
      <c r="CO31" s="85">
        <f>PUNTAJE_GANADORES('Pollas Fase de Grupos'!CP31,'Resultados Oficiales Fase de Gr'!$D$62,'Pollas Fase de Grupos'!CQ31,'Resultados Oficiales Fase de Gr'!$E$62,CN31,'Resultados Oficiales Fase de Gr'!$G$62)</f>
        <v>2</v>
      </c>
      <c r="CP31" s="85" t="str">
        <f>IF('Pollas Fase de Grupos'!CR31&gt;'Pollas Fase de Grupos'!CS31,'Pollas Fase de Grupos'!$CR$2,IF('Pollas Fase de Grupos'!CS31&gt;'Pollas Fase de Grupos'!CR31,'Pollas Fase de Grupos'!$CS$2,"EMPATE"))</f>
        <v>Portugal</v>
      </c>
      <c r="CQ31" s="85">
        <f>PUNTAJE_GANADORES('Pollas Fase de Grupos'!CR31,'Resultados Oficiales Fase de Gr'!$D$63,'Pollas Fase de Grupos'!CS31,'Resultados Oficiales Fase de Gr'!$E$63,CP31,'Resultados Oficiales Fase de Gr'!$G$63)</f>
        <v>1</v>
      </c>
      <c r="CR31" s="85" t="str">
        <f>IF('Pollas Fase de Grupos'!CT31&gt;'Pollas Fase de Grupos'!CU31,'Pollas Fase de Grupos'!$CT$2,IF('Pollas Fase de Grupos'!CU31&gt;'Pollas Fase de Grupos'!CT31,'Pollas Fase de Grupos'!$CU$2,"EMPATE"))</f>
        <v>EMPATE</v>
      </c>
      <c r="CS31" s="85">
        <f>PUNTAJE_GANADORES('Pollas Fase de Grupos'!CT31,'Resultados Oficiales Fase de Gr'!$D$64,'Pollas Fase de Grupos'!CU31,'Resultados Oficiales Fase de Gr'!$E$64,CR31,'Resultados Oficiales Fase de Gr'!$G$64)</f>
        <v>0</v>
      </c>
      <c r="CT31" s="4">
        <f t="shared" si="1"/>
        <v>73</v>
      </c>
      <c r="CU31" s="17">
        <v>49.0</v>
      </c>
      <c r="CV31" s="3">
        <f t="shared" si="2"/>
        <v>76</v>
      </c>
    </row>
    <row r="32">
      <c r="A32" s="3" t="str">
        <f>'Pollas Fase de Grupos'!B40</f>
        <v/>
      </c>
      <c r="CU32" s="4"/>
    </row>
    <row r="33">
      <c r="A33" s="3" t="str">
        <f>'Pollas Fase de Grupos'!B41</f>
        <v/>
      </c>
      <c r="CU33" s="4"/>
    </row>
    <row r="34">
      <c r="A34" s="3" t="str">
        <f>'Pollas Fase de Grupos'!B42</f>
        <v/>
      </c>
      <c r="CU34" s="4"/>
    </row>
    <row r="35">
      <c r="A35" s="3" t="str">
        <f>'Pollas Fase de Grupos'!B43</f>
        <v/>
      </c>
      <c r="CU35" s="4"/>
    </row>
    <row r="36">
      <c r="A36" s="3" t="str">
        <f>'Pollas Fase de Grupos'!B44</f>
        <v/>
      </c>
      <c r="CU36" s="4"/>
    </row>
    <row r="37">
      <c r="A37" s="3" t="str">
        <f>'Pollas Fase de Grupos'!B45</f>
        <v/>
      </c>
      <c r="CU37" s="4"/>
    </row>
    <row r="38">
      <c r="A38" s="3" t="str">
        <f>'Pollas Fase de Grupos'!B46</f>
        <v/>
      </c>
      <c r="CU38" s="4"/>
    </row>
    <row r="39">
      <c r="A39" s="3" t="str">
        <f>'Pollas Fase de Grupos'!B47</f>
        <v/>
      </c>
      <c r="CU39" s="4"/>
    </row>
    <row r="40">
      <c r="A40" s="3" t="str">
        <f>'Pollas Fase de Grupos'!B48</f>
        <v/>
      </c>
      <c r="CU40" s="4"/>
    </row>
    <row r="41">
      <c r="A41" s="3" t="str">
        <f>'Pollas Fase de Grupos'!B49</f>
        <v/>
      </c>
      <c r="CU41" s="4"/>
    </row>
    <row r="42">
      <c r="A42" s="3" t="str">
        <f>'Pollas Fase de Grupos'!B50</f>
        <v/>
      </c>
      <c r="CU42" s="4"/>
    </row>
    <row r="43">
      <c r="A43" s="3" t="str">
        <f>'Pollas Fase de Grupos'!B51</f>
        <v/>
      </c>
      <c r="CU43" s="4"/>
    </row>
    <row r="44">
      <c r="A44" s="3" t="str">
        <f>'Pollas Fase de Grupos'!B52</f>
        <v/>
      </c>
      <c r="CU44" s="4"/>
    </row>
    <row r="45">
      <c r="A45" s="3" t="str">
        <f>'Pollas Fase de Grupos'!B53</f>
        <v/>
      </c>
      <c r="CU45" s="4"/>
    </row>
    <row r="46">
      <c r="A46" s="3" t="str">
        <f>'Pollas Fase de Grupos'!B54</f>
        <v/>
      </c>
      <c r="CU46" s="4"/>
    </row>
    <row r="47">
      <c r="A47" s="3" t="str">
        <f>'Pollas Fase de Grupos'!B55</f>
        <v/>
      </c>
      <c r="CU47" s="4"/>
    </row>
    <row r="48">
      <c r="A48" s="3" t="str">
        <f>'Pollas Fase de Grupos'!B56</f>
        <v/>
      </c>
      <c r="CU48" s="4"/>
    </row>
    <row r="49">
      <c r="A49" s="3" t="str">
        <f>'Pollas Fase de Grupos'!B57</f>
        <v/>
      </c>
      <c r="CU49" s="4"/>
    </row>
    <row r="50">
      <c r="A50" s="3" t="str">
        <f>'Pollas Fase de Grupos'!B58</f>
        <v/>
      </c>
      <c r="CU50" s="4"/>
    </row>
    <row r="51">
      <c r="A51" s="3" t="str">
        <f>'Pollas Fase de Grupos'!B59</f>
        <v/>
      </c>
      <c r="CU51" s="4"/>
    </row>
    <row r="52">
      <c r="A52" s="3" t="str">
        <f>'Pollas Fase de Grupos'!B60</f>
        <v/>
      </c>
      <c r="CU52" s="4"/>
    </row>
    <row r="53">
      <c r="A53" s="3" t="str">
        <f>'Pollas Fase de Grupos'!B61</f>
        <v/>
      </c>
      <c r="CU53" s="4"/>
    </row>
    <row r="54">
      <c r="A54" s="3" t="str">
        <f>'Pollas Fase de Grupos'!B62</f>
        <v/>
      </c>
      <c r="CU54" s="4"/>
    </row>
    <row r="55">
      <c r="A55" s="3" t="str">
        <f>'Pollas Fase de Grupos'!B63</f>
        <v/>
      </c>
      <c r="CU55" s="4"/>
    </row>
    <row r="56">
      <c r="A56" s="3" t="str">
        <f>'Pollas Fase de Grupos'!B64</f>
        <v/>
      </c>
      <c r="CU56" s="4"/>
    </row>
    <row r="57">
      <c r="A57" s="3" t="str">
        <f>'Pollas Fase de Grupos'!B65</f>
        <v/>
      </c>
      <c r="CU57" s="4"/>
    </row>
    <row r="58">
      <c r="A58" s="3" t="str">
        <f>'Pollas Fase de Grupos'!B66</f>
        <v/>
      </c>
      <c r="CU58" s="4"/>
    </row>
    <row r="59">
      <c r="A59" s="3" t="str">
        <f>'Pollas Fase de Grupos'!B67</f>
        <v/>
      </c>
      <c r="CU59" s="4"/>
    </row>
    <row r="60">
      <c r="A60" s="3" t="str">
        <f>'Pollas Fase de Grupos'!B68</f>
        <v/>
      </c>
      <c r="CU60" s="4"/>
    </row>
    <row r="61">
      <c r="A61" s="3" t="str">
        <f>'Pollas Fase de Grupos'!B69</f>
        <v/>
      </c>
      <c r="CU61" s="4"/>
    </row>
    <row r="62">
      <c r="A62" s="3" t="str">
        <f>'Pollas Fase de Grupos'!B70</f>
        <v/>
      </c>
      <c r="CU62" s="4"/>
    </row>
    <row r="63">
      <c r="A63" s="3" t="str">
        <f>'Pollas Fase de Grupos'!B71</f>
        <v/>
      </c>
      <c r="CU63" s="4"/>
    </row>
    <row r="64">
      <c r="A64" s="3" t="str">
        <f>'Pollas Fase de Grupos'!B72</f>
        <v/>
      </c>
      <c r="CU64" s="4"/>
    </row>
    <row r="65">
      <c r="A65" s="3" t="str">
        <f>'Pollas Fase de Grupos'!B73</f>
        <v/>
      </c>
      <c r="CU65" s="4"/>
    </row>
    <row r="66">
      <c r="A66" s="3" t="str">
        <f>'Pollas Fase de Grupos'!B74</f>
        <v/>
      </c>
      <c r="CU66" s="4"/>
    </row>
    <row r="67">
      <c r="A67" s="3" t="str">
        <f>'Pollas Fase de Grupos'!B75</f>
        <v/>
      </c>
      <c r="CU67" s="4"/>
    </row>
    <row r="68">
      <c r="A68" s="3" t="str">
        <f>'Pollas Fase de Grupos'!B76</f>
        <v/>
      </c>
      <c r="CU68" s="4"/>
    </row>
    <row r="69">
      <c r="A69" s="3" t="str">
        <f>'Pollas Fase de Grupos'!B77</f>
        <v/>
      </c>
      <c r="CU69" s="4"/>
    </row>
    <row r="70">
      <c r="A70" s="3" t="str">
        <f>'Pollas Fase de Grupos'!B78</f>
        <v/>
      </c>
      <c r="CU70" s="4"/>
    </row>
    <row r="71">
      <c r="A71" s="3" t="str">
        <f>'Pollas Fase de Grupos'!B79</f>
        <v/>
      </c>
      <c r="CU71" s="4"/>
    </row>
    <row r="72">
      <c r="A72" s="3" t="str">
        <f>'Pollas Fase de Grupos'!B80</f>
        <v/>
      </c>
      <c r="CU72" s="4"/>
    </row>
    <row r="73">
      <c r="A73" s="3" t="str">
        <f>'Pollas Fase de Grupos'!B81</f>
        <v/>
      </c>
      <c r="CU73" s="4"/>
    </row>
    <row r="74">
      <c r="A74" s="3" t="str">
        <f>'Pollas Fase de Grupos'!B82</f>
        <v/>
      </c>
      <c r="CU74" s="4"/>
    </row>
    <row r="75">
      <c r="A75" s="3" t="str">
        <f>'Pollas Fase de Grupos'!B83</f>
        <v/>
      </c>
      <c r="CU75" s="4"/>
    </row>
    <row r="76">
      <c r="A76" s="3" t="str">
        <f>'Pollas Fase de Grupos'!B84</f>
        <v/>
      </c>
      <c r="CU76" s="4"/>
    </row>
    <row r="77">
      <c r="A77" s="3" t="str">
        <f>'Pollas Fase de Grupos'!B85</f>
        <v/>
      </c>
      <c r="CU77" s="4"/>
    </row>
    <row r="78">
      <c r="A78" s="3" t="str">
        <f>'Pollas Fase de Grupos'!B86</f>
        <v/>
      </c>
      <c r="CU78" s="4"/>
    </row>
    <row r="79">
      <c r="A79" s="3" t="str">
        <f>'Pollas Fase de Grupos'!B87</f>
        <v/>
      </c>
      <c r="CU79" s="4"/>
    </row>
    <row r="80">
      <c r="A80" s="3" t="str">
        <f>'Pollas Fase de Grupos'!B88</f>
        <v/>
      </c>
      <c r="CU80" s="4"/>
    </row>
    <row r="81">
      <c r="A81" s="3" t="str">
        <f>'Pollas Fase de Grupos'!B89</f>
        <v/>
      </c>
      <c r="CU81" s="4"/>
    </row>
    <row r="82">
      <c r="A82" s="3" t="str">
        <f>'Pollas Fase de Grupos'!B90</f>
        <v/>
      </c>
      <c r="CU82" s="4"/>
    </row>
    <row r="83">
      <c r="A83" s="3" t="str">
        <f>'Pollas Fase de Grupos'!B91</f>
        <v/>
      </c>
      <c r="CU83" s="4"/>
    </row>
    <row r="84">
      <c r="A84" s="3" t="str">
        <f>'Pollas Fase de Grupos'!B92</f>
        <v/>
      </c>
      <c r="CU84" s="4"/>
    </row>
    <row r="85">
      <c r="A85" s="3" t="str">
        <f>'Pollas Fase de Grupos'!B93</f>
        <v/>
      </c>
      <c r="CU85" s="4"/>
    </row>
    <row r="86">
      <c r="A86" s="3" t="str">
        <f>'Pollas Fase de Grupos'!B94</f>
        <v/>
      </c>
      <c r="CU86" s="4"/>
    </row>
    <row r="87">
      <c r="A87" s="3" t="str">
        <f>'Pollas Fase de Grupos'!B95</f>
        <v/>
      </c>
      <c r="CU87" s="4"/>
    </row>
    <row r="88">
      <c r="A88" s="3" t="str">
        <f>'Pollas Fase de Grupos'!B96</f>
        <v/>
      </c>
      <c r="CU88" s="4"/>
    </row>
    <row r="89">
      <c r="A89" s="3" t="str">
        <f>'Pollas Fase de Grupos'!B97</f>
        <v/>
      </c>
      <c r="CU89" s="4"/>
    </row>
    <row r="90">
      <c r="A90" s="3" t="str">
        <f>'Pollas Fase de Grupos'!B98</f>
        <v/>
      </c>
      <c r="CU90" s="4"/>
    </row>
    <row r="91">
      <c r="A91" s="3" t="str">
        <f>'Pollas Fase de Grupos'!B99</f>
        <v/>
      </c>
      <c r="CU91" s="4"/>
    </row>
    <row r="92">
      <c r="A92" s="3" t="str">
        <f>'Pollas Fase de Grupos'!B100</f>
        <v/>
      </c>
      <c r="CU92" s="4"/>
    </row>
    <row r="93">
      <c r="A93" s="3" t="str">
        <f>'Pollas Fase de Grupos'!B101</f>
        <v/>
      </c>
      <c r="CU93" s="4"/>
    </row>
    <row r="94">
      <c r="A94" s="3" t="str">
        <f>'Pollas Fase de Grupos'!B102</f>
        <v/>
      </c>
      <c r="CU94" s="4"/>
    </row>
    <row r="95">
      <c r="A95" s="3" t="str">
        <f>'Pollas Fase de Grupos'!B103</f>
        <v/>
      </c>
      <c r="CU95" s="4"/>
    </row>
    <row r="96">
      <c r="A96" s="3" t="str">
        <f>'Pollas Fase de Grupos'!B104</f>
        <v/>
      </c>
      <c r="CU96" s="4"/>
    </row>
    <row r="97">
      <c r="A97" s="3" t="str">
        <f>'Pollas Fase de Grupos'!B105</f>
        <v/>
      </c>
      <c r="CU97" s="4"/>
    </row>
    <row r="98">
      <c r="A98" s="3" t="str">
        <f>'Pollas Fase de Grupos'!B106</f>
        <v/>
      </c>
      <c r="CU98" s="4"/>
    </row>
    <row r="99">
      <c r="A99" s="3" t="str">
        <f>'Pollas Fase de Grupos'!B107</f>
        <v/>
      </c>
      <c r="CU99" s="4"/>
    </row>
    <row r="100">
      <c r="A100" s="3" t="str">
        <f>'Pollas Fase de Grupos'!B108</f>
        <v/>
      </c>
      <c r="CU100" s="4"/>
    </row>
    <row r="101">
      <c r="A101" s="3" t="str">
        <f>'Pollas Fase de Grupos'!B109</f>
        <v/>
      </c>
      <c r="CU101" s="4"/>
    </row>
    <row r="102">
      <c r="A102" s="3" t="str">
        <f>'Pollas Fase de Grupos'!B110</f>
        <v/>
      </c>
      <c r="CU102" s="4"/>
    </row>
    <row r="103">
      <c r="A103" s="3" t="str">
        <f>'Pollas Fase de Grupos'!B111</f>
        <v/>
      </c>
      <c r="CU103" s="4"/>
    </row>
    <row r="104">
      <c r="A104" s="3" t="str">
        <f>'Pollas Fase de Grupos'!B112</f>
        <v/>
      </c>
      <c r="CU104" s="4"/>
    </row>
    <row r="105">
      <c r="A105" s="3" t="str">
        <f>'Pollas Fase de Grupos'!B113</f>
        <v/>
      </c>
      <c r="CU105" s="4"/>
    </row>
    <row r="106">
      <c r="A106" s="3" t="str">
        <f>'Pollas Fase de Grupos'!B114</f>
        <v/>
      </c>
      <c r="CU106" s="4"/>
    </row>
    <row r="107">
      <c r="A107" s="3" t="str">
        <f>'Pollas Fase de Grupos'!B115</f>
        <v/>
      </c>
      <c r="CU107" s="4"/>
    </row>
    <row r="108">
      <c r="A108" s="3" t="str">
        <f>'Pollas Fase de Grupos'!B116</f>
        <v/>
      </c>
      <c r="CU108" s="4"/>
    </row>
    <row r="109">
      <c r="A109" s="3" t="str">
        <f>'Pollas Fase de Grupos'!B117</f>
        <v/>
      </c>
      <c r="CU109" s="4"/>
    </row>
    <row r="110">
      <c r="A110" s="3" t="str">
        <f>'Pollas Fase de Grupos'!B118</f>
        <v/>
      </c>
      <c r="CU110" s="4"/>
    </row>
    <row r="111">
      <c r="A111" s="3" t="str">
        <f>'Pollas Fase de Grupos'!B119</f>
        <v/>
      </c>
      <c r="CU111" s="4"/>
    </row>
    <row r="112">
      <c r="A112" s="3" t="str">
        <f>'Pollas Fase de Grupos'!B120</f>
        <v/>
      </c>
      <c r="CU112" s="4"/>
    </row>
    <row r="113">
      <c r="A113" s="3" t="str">
        <f>'Pollas Fase de Grupos'!B121</f>
        <v/>
      </c>
      <c r="CU113" s="4"/>
    </row>
    <row r="114">
      <c r="A114" s="3" t="str">
        <f>'Pollas Fase de Grupos'!B122</f>
        <v/>
      </c>
      <c r="CU114" s="4"/>
    </row>
    <row r="115">
      <c r="A115" s="3" t="str">
        <f>'Pollas Fase de Grupos'!B123</f>
        <v/>
      </c>
      <c r="CU115" s="4"/>
    </row>
    <row r="116">
      <c r="A116" s="3" t="str">
        <f>'Pollas Fase de Grupos'!B124</f>
        <v/>
      </c>
      <c r="CU116" s="4"/>
    </row>
    <row r="117">
      <c r="A117" s="3" t="str">
        <f>'Pollas Fase de Grupos'!B125</f>
        <v/>
      </c>
      <c r="CU117" s="4"/>
    </row>
    <row r="118">
      <c r="A118" s="3" t="str">
        <f>'Pollas Fase de Grupos'!B126</f>
        <v/>
      </c>
      <c r="CU118" s="4"/>
    </row>
    <row r="119">
      <c r="CU119" s="4"/>
    </row>
    <row r="120">
      <c r="CU120" s="4"/>
    </row>
    <row r="121">
      <c r="CU121" s="4"/>
    </row>
    <row r="122">
      <c r="CU122" s="4"/>
    </row>
    <row r="123">
      <c r="CU123" s="4"/>
    </row>
    <row r="124">
      <c r="CU124" s="4"/>
    </row>
    <row r="125">
      <c r="CU125" s="4"/>
    </row>
    <row r="126">
      <c r="CU126" s="4"/>
    </row>
    <row r="127">
      <c r="CU127" s="4"/>
    </row>
    <row r="128">
      <c r="CU128" s="4"/>
    </row>
    <row r="129">
      <c r="CU129" s="4"/>
    </row>
    <row r="130">
      <c r="CU130" s="4"/>
    </row>
    <row r="131">
      <c r="CU131" s="4"/>
    </row>
    <row r="132">
      <c r="CU132" s="4"/>
    </row>
    <row r="133">
      <c r="CU133" s="4"/>
    </row>
    <row r="134">
      <c r="CU134" s="4"/>
    </row>
    <row r="135">
      <c r="CU135" s="4"/>
    </row>
    <row r="136">
      <c r="CU136" s="4"/>
    </row>
    <row r="137">
      <c r="CU137" s="4"/>
    </row>
    <row r="138">
      <c r="CU138" s="4"/>
    </row>
    <row r="139">
      <c r="CU139" s="4"/>
    </row>
    <row r="140">
      <c r="CU140" s="4"/>
    </row>
    <row r="141">
      <c r="CU141" s="4"/>
    </row>
    <row r="142">
      <c r="CU142" s="4"/>
    </row>
    <row r="143">
      <c r="CU143" s="4"/>
    </row>
    <row r="144">
      <c r="CU144" s="4"/>
    </row>
    <row r="145">
      <c r="CU145" s="4"/>
    </row>
    <row r="146">
      <c r="CU146" s="4"/>
    </row>
    <row r="147">
      <c r="CU147" s="4"/>
    </row>
    <row r="148">
      <c r="CU148" s="4"/>
    </row>
    <row r="149">
      <c r="CU149" s="4"/>
    </row>
    <row r="150">
      <c r="CU150" s="4"/>
    </row>
    <row r="151">
      <c r="CU151" s="4"/>
    </row>
    <row r="152">
      <c r="CU152" s="4"/>
    </row>
    <row r="153">
      <c r="CU153" s="4"/>
    </row>
    <row r="154">
      <c r="CU154" s="4"/>
    </row>
    <row r="155">
      <c r="CU155" s="4"/>
    </row>
    <row r="156">
      <c r="CU156" s="4"/>
    </row>
    <row r="157">
      <c r="CU157" s="4"/>
    </row>
    <row r="158">
      <c r="CU158" s="4"/>
    </row>
    <row r="159">
      <c r="CU159" s="4"/>
    </row>
    <row r="160">
      <c r="CU160" s="4"/>
    </row>
    <row r="161">
      <c r="CU161" s="4"/>
    </row>
    <row r="162">
      <c r="CU162" s="4"/>
    </row>
    <row r="163">
      <c r="CU163" s="4"/>
    </row>
    <row r="164">
      <c r="CU164" s="4"/>
    </row>
    <row r="165">
      <c r="CU165" s="4"/>
    </row>
    <row r="166">
      <c r="CU166" s="4"/>
    </row>
    <row r="167">
      <c r="CU167" s="4"/>
    </row>
    <row r="168">
      <c r="CU168" s="4"/>
    </row>
    <row r="169">
      <c r="CU169" s="4"/>
    </row>
    <row r="170">
      <c r="CU170" s="4"/>
    </row>
    <row r="171">
      <c r="CU171" s="4"/>
    </row>
    <row r="172">
      <c r="CU172" s="4"/>
    </row>
    <row r="173">
      <c r="CU173" s="4"/>
    </row>
    <row r="174">
      <c r="CU174" s="4"/>
    </row>
    <row r="175">
      <c r="CU175" s="4"/>
    </row>
    <row r="176">
      <c r="CU176" s="4"/>
    </row>
    <row r="177">
      <c r="CU177" s="4"/>
    </row>
    <row r="178">
      <c r="CU178" s="4"/>
    </row>
    <row r="179">
      <c r="CU179" s="4"/>
    </row>
    <row r="180">
      <c r="CU180" s="4"/>
    </row>
    <row r="181">
      <c r="CU181" s="4"/>
    </row>
    <row r="182">
      <c r="CU182" s="4"/>
    </row>
    <row r="183">
      <c r="CU183" s="4"/>
    </row>
    <row r="184">
      <c r="CU184" s="4"/>
    </row>
    <row r="185">
      <c r="CU185" s="4"/>
    </row>
    <row r="186">
      <c r="CU186" s="4"/>
    </row>
    <row r="187">
      <c r="CU187" s="4"/>
    </row>
    <row r="188">
      <c r="CU188" s="4"/>
    </row>
    <row r="189">
      <c r="CU189" s="4"/>
    </row>
    <row r="190">
      <c r="CU190" s="4"/>
    </row>
    <row r="191">
      <c r="CU191" s="4"/>
    </row>
    <row r="192">
      <c r="CU192" s="4"/>
    </row>
    <row r="193">
      <c r="CU193" s="4"/>
    </row>
    <row r="194">
      <c r="CU194" s="4"/>
    </row>
    <row r="195">
      <c r="CU195" s="4"/>
    </row>
    <row r="196">
      <c r="CU196" s="4"/>
    </row>
    <row r="197">
      <c r="CU197" s="4"/>
    </row>
    <row r="198">
      <c r="CU198" s="4"/>
    </row>
    <row r="199">
      <c r="CU199" s="4"/>
    </row>
    <row r="200">
      <c r="CU200" s="4"/>
    </row>
    <row r="201">
      <c r="CU201" s="4"/>
    </row>
    <row r="202">
      <c r="CU202" s="4"/>
    </row>
    <row r="203">
      <c r="CU203" s="4"/>
    </row>
    <row r="204">
      <c r="CU204" s="4"/>
    </row>
    <row r="205">
      <c r="CU205" s="4"/>
    </row>
    <row r="206">
      <c r="CU206" s="4"/>
    </row>
    <row r="207">
      <c r="CU207" s="4"/>
    </row>
    <row r="208">
      <c r="CU208" s="4"/>
    </row>
    <row r="209">
      <c r="CU209" s="4"/>
    </row>
    <row r="210">
      <c r="CU210" s="4"/>
    </row>
    <row r="211">
      <c r="CU211" s="4"/>
    </row>
    <row r="212">
      <c r="CU212" s="4"/>
    </row>
    <row r="213">
      <c r="CU213" s="4"/>
    </row>
    <row r="214">
      <c r="CU214" s="4"/>
    </row>
    <row r="215">
      <c r="CU215" s="4"/>
    </row>
    <row r="216">
      <c r="CU216" s="4"/>
    </row>
    <row r="217">
      <c r="CU217" s="4"/>
    </row>
    <row r="218">
      <c r="CU218" s="4"/>
    </row>
    <row r="219">
      <c r="CU219" s="4"/>
    </row>
    <row r="220">
      <c r="CU220" s="4"/>
    </row>
    <row r="221">
      <c r="CU221" s="4"/>
    </row>
    <row r="222">
      <c r="CU222" s="4"/>
    </row>
    <row r="223">
      <c r="CU223" s="4"/>
    </row>
    <row r="224">
      <c r="CU224" s="4"/>
    </row>
    <row r="225">
      <c r="CU225" s="4"/>
    </row>
    <row r="226">
      <c r="CU226" s="4"/>
    </row>
    <row r="227">
      <c r="CU227" s="4"/>
    </row>
    <row r="228">
      <c r="CU228" s="4"/>
    </row>
    <row r="229">
      <c r="CU229" s="4"/>
    </row>
    <row r="230">
      <c r="CU230" s="4"/>
    </row>
    <row r="231">
      <c r="CU231" s="4"/>
    </row>
    <row r="232">
      <c r="CU232" s="4"/>
    </row>
    <row r="233">
      <c r="CU233" s="4"/>
    </row>
    <row r="234">
      <c r="CU234" s="4"/>
    </row>
    <row r="235">
      <c r="CU235" s="4"/>
    </row>
    <row r="236">
      <c r="CU236" s="4"/>
    </row>
    <row r="237">
      <c r="CU237" s="4"/>
    </row>
    <row r="238">
      <c r="CU238" s="4"/>
    </row>
    <row r="239">
      <c r="CU239" s="4"/>
    </row>
    <row r="240">
      <c r="CU240" s="4"/>
    </row>
    <row r="241">
      <c r="CU241" s="4"/>
    </row>
    <row r="242">
      <c r="CU242" s="4"/>
    </row>
    <row r="243">
      <c r="CU243" s="4"/>
    </row>
    <row r="244">
      <c r="CU244" s="4"/>
    </row>
    <row r="245">
      <c r="CU245" s="4"/>
    </row>
    <row r="246">
      <c r="CU246" s="4"/>
    </row>
    <row r="247">
      <c r="CU247" s="4"/>
    </row>
    <row r="248">
      <c r="CU248" s="4"/>
    </row>
    <row r="249">
      <c r="CU249" s="4"/>
    </row>
    <row r="250">
      <c r="CU250" s="4"/>
    </row>
    <row r="251">
      <c r="CU251" s="4"/>
    </row>
    <row r="252">
      <c r="CU252" s="4"/>
    </row>
    <row r="253">
      <c r="CU253" s="4"/>
    </row>
    <row r="254">
      <c r="CU254" s="4"/>
    </row>
    <row r="255">
      <c r="CU255" s="4"/>
    </row>
    <row r="256">
      <c r="CU256" s="4"/>
    </row>
    <row r="257">
      <c r="CU257" s="4"/>
    </row>
    <row r="258">
      <c r="CU258" s="4"/>
    </row>
    <row r="259">
      <c r="CU259" s="4"/>
    </row>
    <row r="260">
      <c r="CU260" s="4"/>
    </row>
    <row r="261">
      <c r="CU261" s="4"/>
    </row>
    <row r="262">
      <c r="CU262" s="4"/>
    </row>
    <row r="263">
      <c r="CU263" s="4"/>
    </row>
    <row r="264">
      <c r="CU264" s="4"/>
    </row>
    <row r="265">
      <c r="CU265" s="4"/>
    </row>
    <row r="266">
      <c r="CU266" s="4"/>
    </row>
    <row r="267">
      <c r="CU267" s="4"/>
    </row>
    <row r="268">
      <c r="CU268" s="4"/>
    </row>
    <row r="269">
      <c r="CU269" s="4"/>
    </row>
    <row r="270">
      <c r="CU270" s="4"/>
    </row>
    <row r="271">
      <c r="CU271" s="4"/>
    </row>
    <row r="272">
      <c r="CU272" s="4"/>
    </row>
    <row r="273">
      <c r="CU273" s="4"/>
    </row>
    <row r="274">
      <c r="CU274" s="4"/>
    </row>
    <row r="275">
      <c r="CU275" s="4"/>
    </row>
    <row r="276">
      <c r="CU276" s="4"/>
    </row>
    <row r="277">
      <c r="CU277" s="4"/>
    </row>
    <row r="278">
      <c r="CU278" s="4"/>
    </row>
    <row r="279">
      <c r="CU279" s="4"/>
    </row>
    <row r="280">
      <c r="CU280" s="4"/>
    </row>
    <row r="281">
      <c r="CU281" s="4"/>
    </row>
    <row r="282">
      <c r="CU282" s="4"/>
    </row>
    <row r="283">
      <c r="CU283" s="4"/>
    </row>
    <row r="284">
      <c r="CU284" s="4"/>
    </row>
    <row r="285">
      <c r="CU285" s="4"/>
    </row>
    <row r="286">
      <c r="CU286" s="4"/>
    </row>
    <row r="287">
      <c r="CU287" s="4"/>
    </row>
    <row r="288">
      <c r="CU288" s="4"/>
    </row>
    <row r="289">
      <c r="CU289" s="4"/>
    </row>
    <row r="290">
      <c r="CU290" s="4"/>
    </row>
    <row r="291">
      <c r="CU291" s="4"/>
    </row>
    <row r="292">
      <c r="CU292" s="4"/>
    </row>
    <row r="293">
      <c r="CU293" s="4"/>
    </row>
    <row r="294">
      <c r="CU294" s="4"/>
    </row>
    <row r="295">
      <c r="CU295" s="4"/>
    </row>
    <row r="296">
      <c r="CU296" s="4"/>
    </row>
    <row r="297">
      <c r="CU297" s="4"/>
    </row>
    <row r="298">
      <c r="CU298" s="4"/>
    </row>
    <row r="299">
      <c r="CU299" s="4"/>
    </row>
    <row r="300">
      <c r="CU300" s="4"/>
    </row>
    <row r="301">
      <c r="CU301" s="4"/>
    </row>
    <row r="302">
      <c r="CU302" s="4"/>
    </row>
    <row r="303">
      <c r="CU303" s="4"/>
    </row>
    <row r="304">
      <c r="CU304" s="4"/>
    </row>
    <row r="305">
      <c r="CU305" s="4"/>
    </row>
    <row r="306">
      <c r="CU306" s="4"/>
    </row>
    <row r="307">
      <c r="CU307" s="4"/>
    </row>
    <row r="308">
      <c r="CU308" s="4"/>
    </row>
    <row r="309">
      <c r="CU309" s="4"/>
    </row>
    <row r="310">
      <c r="CU310" s="4"/>
    </row>
    <row r="311">
      <c r="CU311" s="4"/>
    </row>
    <row r="312">
      <c r="CU312" s="4"/>
    </row>
    <row r="313">
      <c r="CU313" s="4"/>
    </row>
    <row r="314">
      <c r="CU314" s="4"/>
    </row>
    <row r="315">
      <c r="CU315" s="4"/>
    </row>
    <row r="316">
      <c r="CU316" s="4"/>
    </row>
    <row r="317">
      <c r="CU317" s="4"/>
    </row>
    <row r="318">
      <c r="CU318" s="4"/>
    </row>
    <row r="319">
      <c r="CU319" s="4"/>
    </row>
    <row r="320">
      <c r="CU320" s="4"/>
    </row>
    <row r="321">
      <c r="CU321" s="4"/>
    </row>
    <row r="322">
      <c r="CU322" s="4"/>
    </row>
    <row r="323">
      <c r="CU323" s="4"/>
    </row>
    <row r="324">
      <c r="CU324" s="4"/>
    </row>
    <row r="325">
      <c r="CU325" s="4"/>
    </row>
    <row r="326">
      <c r="CU326" s="4"/>
    </row>
    <row r="327">
      <c r="CU327" s="4"/>
    </row>
    <row r="328">
      <c r="CU328" s="4"/>
    </row>
    <row r="329">
      <c r="CU329" s="4"/>
    </row>
    <row r="330">
      <c r="CU330" s="4"/>
    </row>
    <row r="331">
      <c r="CU331" s="4"/>
    </row>
    <row r="332">
      <c r="CU332" s="4"/>
    </row>
    <row r="333">
      <c r="CU333" s="4"/>
    </row>
    <row r="334">
      <c r="CU334" s="4"/>
    </row>
    <row r="335">
      <c r="CU335" s="4"/>
    </row>
    <row r="336">
      <c r="CU336" s="4"/>
    </row>
    <row r="337">
      <c r="CU337" s="4"/>
    </row>
    <row r="338">
      <c r="CU338" s="4"/>
    </row>
    <row r="339">
      <c r="CU339" s="4"/>
    </row>
    <row r="340">
      <c r="CU340" s="4"/>
    </row>
    <row r="341">
      <c r="CU341" s="4"/>
    </row>
    <row r="342">
      <c r="CU342" s="4"/>
    </row>
    <row r="343">
      <c r="CU343" s="4"/>
    </row>
    <row r="344">
      <c r="CU344" s="4"/>
    </row>
    <row r="345">
      <c r="CU345" s="4"/>
    </row>
    <row r="346">
      <c r="CU346" s="4"/>
    </row>
    <row r="347">
      <c r="CU347" s="4"/>
    </row>
    <row r="348">
      <c r="CU348" s="4"/>
    </row>
    <row r="349">
      <c r="CU349" s="4"/>
    </row>
    <row r="350">
      <c r="CU350" s="4"/>
    </row>
    <row r="351">
      <c r="CU351" s="4"/>
    </row>
    <row r="352">
      <c r="CU352" s="4"/>
    </row>
    <row r="353">
      <c r="CU353" s="4"/>
    </row>
    <row r="354">
      <c r="CU354" s="4"/>
    </row>
    <row r="355">
      <c r="CU355" s="4"/>
    </row>
    <row r="356">
      <c r="CU356" s="4"/>
    </row>
    <row r="357">
      <c r="CU357" s="4"/>
    </row>
    <row r="358">
      <c r="CU358" s="4"/>
    </row>
    <row r="359">
      <c r="CU359" s="4"/>
    </row>
    <row r="360">
      <c r="CU360" s="4"/>
    </row>
    <row r="361">
      <c r="CU361" s="4"/>
    </row>
    <row r="362">
      <c r="CU362" s="4"/>
    </row>
    <row r="363">
      <c r="CU363" s="4"/>
    </row>
    <row r="364">
      <c r="CU364" s="4"/>
    </row>
    <row r="365">
      <c r="CU365" s="4"/>
    </row>
    <row r="366">
      <c r="CU366" s="4"/>
    </row>
    <row r="367">
      <c r="CU367" s="4"/>
    </row>
    <row r="368">
      <c r="CU368" s="4"/>
    </row>
    <row r="369">
      <c r="CU369" s="4"/>
    </row>
    <row r="370">
      <c r="CU370" s="4"/>
    </row>
    <row r="371">
      <c r="CU371" s="4"/>
    </row>
    <row r="372">
      <c r="CU372" s="4"/>
    </row>
    <row r="373">
      <c r="CU373" s="4"/>
    </row>
    <row r="374">
      <c r="CU374" s="4"/>
    </row>
    <row r="375">
      <c r="CU375" s="4"/>
    </row>
    <row r="376">
      <c r="CU376" s="4"/>
    </row>
    <row r="377">
      <c r="CU377" s="4"/>
    </row>
    <row r="378">
      <c r="CU378" s="4"/>
    </row>
    <row r="379">
      <c r="CU379" s="4"/>
    </row>
    <row r="380">
      <c r="CU380" s="4"/>
    </row>
    <row r="381">
      <c r="CU381" s="4"/>
    </row>
    <row r="382">
      <c r="CU382" s="4"/>
    </row>
    <row r="383">
      <c r="CU383" s="4"/>
    </row>
    <row r="384">
      <c r="CU384" s="4"/>
    </row>
    <row r="385">
      <c r="CU385" s="4"/>
    </row>
    <row r="386">
      <c r="CU386" s="4"/>
    </row>
    <row r="387">
      <c r="CU387" s="4"/>
    </row>
    <row r="388">
      <c r="CU388" s="4"/>
    </row>
    <row r="389">
      <c r="CU389" s="4"/>
    </row>
    <row r="390">
      <c r="CU390" s="4"/>
    </row>
    <row r="391">
      <c r="CU391" s="4"/>
    </row>
    <row r="392">
      <c r="CU392" s="4"/>
    </row>
    <row r="393">
      <c r="CU393" s="4"/>
    </row>
    <row r="394">
      <c r="CU394" s="4"/>
    </row>
    <row r="395">
      <c r="CU395" s="4"/>
    </row>
    <row r="396">
      <c r="CU396" s="4"/>
    </row>
    <row r="397">
      <c r="CU397" s="4"/>
    </row>
    <row r="398">
      <c r="CU398" s="4"/>
    </row>
    <row r="399">
      <c r="CU399" s="4"/>
    </row>
    <row r="400">
      <c r="CU400" s="4"/>
    </row>
    <row r="401">
      <c r="CU401" s="4"/>
    </row>
    <row r="402">
      <c r="CU402" s="4"/>
    </row>
    <row r="403">
      <c r="CU403" s="4"/>
    </row>
    <row r="404">
      <c r="CU404" s="4"/>
    </row>
    <row r="405">
      <c r="CU405" s="4"/>
    </row>
    <row r="406">
      <c r="CU406" s="4"/>
    </row>
    <row r="407">
      <c r="CU407" s="4"/>
    </row>
    <row r="408">
      <c r="CU408" s="4"/>
    </row>
    <row r="409">
      <c r="CU409" s="4"/>
    </row>
    <row r="410">
      <c r="CU410" s="4"/>
    </row>
    <row r="411">
      <c r="CU411" s="4"/>
    </row>
    <row r="412">
      <c r="CU412" s="4"/>
    </row>
    <row r="413">
      <c r="CU413" s="4"/>
    </row>
    <row r="414">
      <c r="CU414" s="4"/>
    </row>
    <row r="415">
      <c r="CU415" s="4"/>
    </row>
    <row r="416">
      <c r="CU416" s="4"/>
    </row>
    <row r="417">
      <c r="CU417" s="4"/>
    </row>
    <row r="418">
      <c r="CU418" s="4"/>
    </row>
    <row r="419">
      <c r="CU419" s="4"/>
    </row>
    <row r="420">
      <c r="CU420" s="4"/>
    </row>
    <row r="421">
      <c r="CU421" s="4"/>
    </row>
    <row r="422">
      <c r="CU422" s="4"/>
    </row>
    <row r="423">
      <c r="CU423" s="4"/>
    </row>
    <row r="424">
      <c r="CU424" s="4"/>
    </row>
    <row r="425">
      <c r="CU425" s="4"/>
    </row>
    <row r="426">
      <c r="CU426" s="4"/>
    </row>
    <row r="427">
      <c r="CU427" s="4"/>
    </row>
    <row r="428">
      <c r="CU428" s="4"/>
    </row>
    <row r="429">
      <c r="CU429" s="4"/>
    </row>
    <row r="430">
      <c r="CU430" s="4"/>
    </row>
    <row r="431">
      <c r="CU431" s="4"/>
    </row>
    <row r="432">
      <c r="CU432" s="4"/>
    </row>
    <row r="433">
      <c r="CU433" s="4"/>
    </row>
    <row r="434">
      <c r="CU434" s="4"/>
    </row>
    <row r="435">
      <c r="CU435" s="4"/>
    </row>
    <row r="436">
      <c r="CU436" s="4"/>
    </row>
    <row r="437">
      <c r="CU437" s="4"/>
    </row>
    <row r="438">
      <c r="CU438" s="4"/>
    </row>
    <row r="439">
      <c r="CU439" s="4"/>
    </row>
    <row r="440">
      <c r="CU440" s="4"/>
    </row>
    <row r="441">
      <c r="CU441" s="4"/>
    </row>
    <row r="442">
      <c r="CU442" s="4"/>
    </row>
    <row r="443">
      <c r="CU443" s="4"/>
    </row>
    <row r="444">
      <c r="CU444" s="4"/>
    </row>
    <row r="445">
      <c r="CU445" s="4"/>
    </row>
    <row r="446">
      <c r="CU446" s="4"/>
    </row>
    <row r="447">
      <c r="CU447" s="4"/>
    </row>
    <row r="448">
      <c r="CU448" s="4"/>
    </row>
    <row r="449">
      <c r="CU449" s="4"/>
    </row>
    <row r="450">
      <c r="CU450" s="4"/>
    </row>
    <row r="451">
      <c r="CU451" s="4"/>
    </row>
    <row r="452">
      <c r="CU452" s="4"/>
    </row>
    <row r="453">
      <c r="CU453" s="4"/>
    </row>
    <row r="454">
      <c r="CU454" s="4"/>
    </row>
    <row r="455">
      <c r="CU455" s="4"/>
    </row>
    <row r="456">
      <c r="CU456" s="4"/>
    </row>
    <row r="457">
      <c r="CU457" s="4"/>
    </row>
    <row r="458">
      <c r="CU458" s="4"/>
    </row>
    <row r="459">
      <c r="CU459" s="4"/>
    </row>
    <row r="460">
      <c r="CU460" s="4"/>
    </row>
    <row r="461">
      <c r="CU461" s="4"/>
    </row>
    <row r="462">
      <c r="CU462" s="4"/>
    </row>
    <row r="463">
      <c r="CU463" s="4"/>
    </row>
    <row r="464">
      <c r="CU464" s="4"/>
    </row>
    <row r="465">
      <c r="CU465" s="4"/>
    </row>
    <row r="466">
      <c r="CU466" s="4"/>
    </row>
    <row r="467">
      <c r="CU467" s="4"/>
    </row>
    <row r="468">
      <c r="CU468" s="4"/>
    </row>
    <row r="469">
      <c r="CU469" s="4"/>
    </row>
    <row r="470">
      <c r="CU470" s="4"/>
    </row>
    <row r="471">
      <c r="CU471" s="4"/>
    </row>
    <row r="472">
      <c r="CU472" s="4"/>
    </row>
    <row r="473">
      <c r="CU473" s="4"/>
    </row>
    <row r="474">
      <c r="CU474" s="4"/>
    </row>
    <row r="475">
      <c r="CU475" s="4"/>
    </row>
    <row r="476">
      <c r="CU476" s="4"/>
    </row>
    <row r="477">
      <c r="CU477" s="4"/>
    </row>
    <row r="478">
      <c r="CU478" s="4"/>
    </row>
    <row r="479">
      <c r="CU479" s="4"/>
    </row>
    <row r="480">
      <c r="CU480" s="4"/>
    </row>
    <row r="481">
      <c r="CU481" s="4"/>
    </row>
    <row r="482">
      <c r="CU482" s="4"/>
    </row>
    <row r="483">
      <c r="CU483" s="4"/>
    </row>
    <row r="484">
      <c r="CU484" s="4"/>
    </row>
    <row r="485">
      <c r="CU485" s="4"/>
    </row>
    <row r="486">
      <c r="CU486" s="4"/>
    </row>
    <row r="487">
      <c r="CU487" s="4"/>
    </row>
    <row r="488">
      <c r="CU488" s="4"/>
    </row>
    <row r="489">
      <c r="CU489" s="4"/>
    </row>
    <row r="490">
      <c r="CU490" s="4"/>
    </row>
    <row r="491">
      <c r="CU491" s="4"/>
    </row>
    <row r="492">
      <c r="CU492" s="4"/>
    </row>
    <row r="493">
      <c r="CU493" s="4"/>
    </row>
    <row r="494">
      <c r="CU494" s="4"/>
    </row>
    <row r="495">
      <c r="CU495" s="4"/>
    </row>
    <row r="496">
      <c r="CU496" s="4"/>
    </row>
    <row r="497">
      <c r="CU497" s="4"/>
    </row>
    <row r="498">
      <c r="CU498" s="4"/>
    </row>
    <row r="499">
      <c r="CU499" s="4"/>
    </row>
    <row r="500">
      <c r="CU500" s="4"/>
    </row>
    <row r="501">
      <c r="CU501" s="4"/>
    </row>
    <row r="502">
      <c r="CU502" s="4"/>
    </row>
    <row r="503">
      <c r="CU503" s="4"/>
    </row>
    <row r="504">
      <c r="CU504" s="4"/>
    </row>
    <row r="505">
      <c r="CU505" s="4"/>
    </row>
    <row r="506">
      <c r="CU506" s="4"/>
    </row>
    <row r="507">
      <c r="CU507" s="4"/>
    </row>
    <row r="508">
      <c r="CU508" s="4"/>
    </row>
    <row r="509">
      <c r="CU509" s="4"/>
    </row>
    <row r="510">
      <c r="CU510" s="4"/>
    </row>
    <row r="511">
      <c r="CU511" s="4"/>
    </row>
    <row r="512">
      <c r="CU512" s="4"/>
    </row>
    <row r="513">
      <c r="CU513" s="4"/>
    </row>
    <row r="514">
      <c r="CU514" s="4"/>
    </row>
    <row r="515">
      <c r="CU515" s="4"/>
    </row>
    <row r="516">
      <c r="CU516" s="4"/>
    </row>
    <row r="517">
      <c r="CU517" s="4"/>
    </row>
    <row r="518">
      <c r="CU518" s="4"/>
    </row>
    <row r="519">
      <c r="CU519" s="4"/>
    </row>
    <row r="520">
      <c r="CU520" s="4"/>
    </row>
    <row r="521">
      <c r="CU521" s="4"/>
    </row>
    <row r="522">
      <c r="CU522" s="4"/>
    </row>
    <row r="523">
      <c r="CU523" s="4"/>
    </row>
    <row r="524">
      <c r="CU524" s="4"/>
    </row>
    <row r="525">
      <c r="CU525" s="4"/>
    </row>
    <row r="526">
      <c r="CU526" s="4"/>
    </row>
    <row r="527">
      <c r="CU527" s="4"/>
    </row>
    <row r="528">
      <c r="CU528" s="4"/>
    </row>
    <row r="529">
      <c r="CU529" s="4"/>
    </row>
    <row r="530">
      <c r="CU530" s="4"/>
    </row>
    <row r="531">
      <c r="CU531" s="4"/>
    </row>
    <row r="532">
      <c r="CU532" s="4"/>
    </row>
    <row r="533">
      <c r="CU533" s="4"/>
    </row>
    <row r="534">
      <c r="CU534" s="4"/>
    </row>
    <row r="535">
      <c r="CU535" s="4"/>
    </row>
    <row r="536">
      <c r="CU536" s="4"/>
    </row>
    <row r="537">
      <c r="CU537" s="4"/>
    </row>
    <row r="538">
      <c r="CU538" s="4"/>
    </row>
    <row r="539">
      <c r="CU539" s="4"/>
    </row>
    <row r="540">
      <c r="CU540" s="4"/>
    </row>
    <row r="541">
      <c r="CU541" s="4"/>
    </row>
    <row r="542">
      <c r="CU542" s="4"/>
    </row>
    <row r="543">
      <c r="CU543" s="4"/>
    </row>
    <row r="544">
      <c r="CU544" s="4"/>
    </row>
    <row r="545">
      <c r="CU545" s="4"/>
    </row>
    <row r="546">
      <c r="CU546" s="4"/>
    </row>
    <row r="547">
      <c r="CU547" s="4"/>
    </row>
    <row r="548">
      <c r="CU548" s="4"/>
    </row>
    <row r="549">
      <c r="CU549" s="4"/>
    </row>
    <row r="550">
      <c r="CU550" s="4"/>
    </row>
    <row r="551">
      <c r="CU551" s="4"/>
    </row>
    <row r="552">
      <c r="CU552" s="4"/>
    </row>
    <row r="553">
      <c r="CU553" s="4"/>
    </row>
    <row r="554">
      <c r="CU554" s="4"/>
    </row>
    <row r="555">
      <c r="CU555" s="4"/>
    </row>
    <row r="556">
      <c r="CU556" s="4"/>
    </row>
    <row r="557">
      <c r="CU557" s="4"/>
    </row>
    <row r="558">
      <c r="CU558" s="4"/>
    </row>
    <row r="559">
      <c r="CU559" s="4"/>
    </row>
    <row r="560">
      <c r="CU560" s="4"/>
    </row>
    <row r="561">
      <c r="CU561" s="4"/>
    </row>
    <row r="562">
      <c r="CU562" s="4"/>
    </row>
    <row r="563">
      <c r="CU563" s="4"/>
    </row>
    <row r="564">
      <c r="CU564" s="4"/>
    </row>
    <row r="565">
      <c r="CU565" s="4"/>
    </row>
    <row r="566">
      <c r="CU566" s="4"/>
    </row>
    <row r="567">
      <c r="CU567" s="4"/>
    </row>
    <row r="568">
      <c r="CU568" s="4"/>
    </row>
    <row r="569">
      <c r="CU569" s="4"/>
    </row>
    <row r="570">
      <c r="CU570" s="4"/>
    </row>
    <row r="571">
      <c r="CU571" s="4"/>
    </row>
    <row r="572">
      <c r="CU572" s="4"/>
    </row>
    <row r="573">
      <c r="CU573" s="4"/>
    </row>
    <row r="574">
      <c r="CU574" s="4"/>
    </row>
    <row r="575">
      <c r="CU575" s="4"/>
    </row>
    <row r="576">
      <c r="CU576" s="4"/>
    </row>
    <row r="577">
      <c r="CU577" s="4"/>
    </row>
    <row r="578">
      <c r="CU578" s="4"/>
    </row>
    <row r="579">
      <c r="CU579" s="4"/>
    </row>
    <row r="580">
      <c r="CU580" s="4"/>
    </row>
    <row r="581">
      <c r="CU581" s="4"/>
    </row>
    <row r="582">
      <c r="CU582" s="4"/>
    </row>
    <row r="583">
      <c r="CU583" s="4"/>
    </row>
    <row r="584">
      <c r="CU584" s="4"/>
    </row>
    <row r="585">
      <c r="CU585" s="4"/>
    </row>
    <row r="586">
      <c r="CU586" s="4"/>
    </row>
    <row r="587">
      <c r="CU587" s="4"/>
    </row>
    <row r="588">
      <c r="CU588" s="4"/>
    </row>
    <row r="589">
      <c r="CU589" s="4"/>
    </row>
    <row r="590">
      <c r="CU590" s="4"/>
    </row>
    <row r="591">
      <c r="CU591" s="4"/>
    </row>
    <row r="592">
      <c r="CU592" s="4"/>
    </row>
    <row r="593">
      <c r="CU593" s="4"/>
    </row>
    <row r="594">
      <c r="CU594" s="4"/>
    </row>
    <row r="595">
      <c r="CU595" s="4"/>
    </row>
    <row r="596">
      <c r="CU596" s="4"/>
    </row>
    <row r="597">
      <c r="CU597" s="4"/>
    </row>
    <row r="598">
      <c r="CU598" s="4"/>
    </row>
    <row r="599">
      <c r="CU599" s="4"/>
    </row>
    <row r="600">
      <c r="CU600" s="4"/>
    </row>
    <row r="601">
      <c r="CU601" s="4"/>
    </row>
    <row r="602">
      <c r="CU602" s="4"/>
    </row>
    <row r="603">
      <c r="CU603" s="4"/>
    </row>
    <row r="604">
      <c r="CU604" s="4"/>
    </row>
    <row r="605">
      <c r="CU605" s="4"/>
    </row>
    <row r="606">
      <c r="CU606" s="4"/>
    </row>
    <row r="607">
      <c r="CU607" s="4"/>
    </row>
    <row r="608">
      <c r="CU608" s="4"/>
    </row>
    <row r="609">
      <c r="CU609" s="4"/>
    </row>
    <row r="610">
      <c r="CU610" s="4"/>
    </row>
    <row r="611">
      <c r="CU611" s="4"/>
    </row>
    <row r="612">
      <c r="CU612" s="4"/>
    </row>
    <row r="613">
      <c r="CU613" s="4"/>
    </row>
    <row r="614">
      <c r="CU614" s="4"/>
    </row>
    <row r="615">
      <c r="CU615" s="4"/>
    </row>
    <row r="616">
      <c r="CU616" s="4"/>
    </row>
    <row r="617">
      <c r="CU617" s="4"/>
    </row>
    <row r="618">
      <c r="CU618" s="4"/>
    </row>
    <row r="619">
      <c r="CU619" s="4"/>
    </row>
    <row r="620">
      <c r="CU620" s="4"/>
    </row>
    <row r="621">
      <c r="CU621" s="4"/>
    </row>
    <row r="622">
      <c r="CU622" s="4"/>
    </row>
    <row r="623">
      <c r="CU623" s="4"/>
    </row>
    <row r="624">
      <c r="CU624" s="4"/>
    </row>
    <row r="625">
      <c r="CU625" s="4"/>
    </row>
    <row r="626">
      <c r="CU626" s="4"/>
    </row>
    <row r="627">
      <c r="CU627" s="4"/>
    </row>
    <row r="628">
      <c r="CU628" s="4"/>
    </row>
    <row r="629">
      <c r="CU629" s="4"/>
    </row>
    <row r="630">
      <c r="CU630" s="4"/>
    </row>
    <row r="631">
      <c r="CU631" s="4"/>
    </row>
    <row r="632">
      <c r="CU632" s="4"/>
    </row>
    <row r="633">
      <c r="CU633" s="4"/>
    </row>
    <row r="634">
      <c r="CU634" s="4"/>
    </row>
    <row r="635">
      <c r="CU635" s="4"/>
    </row>
    <row r="636">
      <c r="CU636" s="4"/>
    </row>
    <row r="637">
      <c r="CU637" s="4"/>
    </row>
    <row r="638">
      <c r="CU638" s="4"/>
    </row>
    <row r="639">
      <c r="CU639" s="4"/>
    </row>
    <row r="640">
      <c r="CU640" s="4"/>
    </row>
    <row r="641">
      <c r="CU641" s="4"/>
    </row>
    <row r="642">
      <c r="CU642" s="4"/>
    </row>
    <row r="643">
      <c r="CU643" s="4"/>
    </row>
    <row r="644">
      <c r="CU644" s="4"/>
    </row>
    <row r="645">
      <c r="CU645" s="4"/>
    </row>
    <row r="646">
      <c r="CU646" s="4"/>
    </row>
    <row r="647">
      <c r="CU647" s="4"/>
    </row>
    <row r="648">
      <c r="CU648" s="4"/>
    </row>
    <row r="649">
      <c r="CU649" s="4"/>
    </row>
    <row r="650">
      <c r="CU650" s="4"/>
    </row>
    <row r="651">
      <c r="CU651" s="4"/>
    </row>
    <row r="652">
      <c r="CU652" s="4"/>
    </row>
    <row r="653">
      <c r="CU653" s="4"/>
    </row>
    <row r="654">
      <c r="CU654" s="4"/>
    </row>
    <row r="655">
      <c r="CU655" s="4"/>
    </row>
    <row r="656">
      <c r="CU656" s="4"/>
    </row>
    <row r="657">
      <c r="CU657" s="4"/>
    </row>
    <row r="658">
      <c r="CU658" s="4"/>
    </row>
    <row r="659">
      <c r="CU659" s="4"/>
    </row>
    <row r="660">
      <c r="CU660" s="4"/>
    </row>
    <row r="661">
      <c r="CU661" s="4"/>
    </row>
    <row r="662">
      <c r="CU662" s="4"/>
    </row>
    <row r="663">
      <c r="CU663" s="4"/>
    </row>
    <row r="664">
      <c r="CU664" s="4"/>
    </row>
    <row r="665">
      <c r="CU665" s="4"/>
    </row>
    <row r="666">
      <c r="CU666" s="4"/>
    </row>
    <row r="667">
      <c r="CU667" s="4"/>
    </row>
    <row r="668">
      <c r="CU668" s="4"/>
    </row>
    <row r="669">
      <c r="CU669" s="4"/>
    </row>
    <row r="670">
      <c r="CU670" s="4"/>
    </row>
    <row r="671">
      <c r="CU671" s="4"/>
    </row>
    <row r="672">
      <c r="CU672" s="4"/>
    </row>
    <row r="673">
      <c r="CU673" s="4"/>
    </row>
    <row r="674">
      <c r="CU674" s="4"/>
    </row>
    <row r="675">
      <c r="CU675" s="4"/>
    </row>
    <row r="676">
      <c r="CU676" s="4"/>
    </row>
    <row r="677">
      <c r="CU677" s="4"/>
    </row>
    <row r="678">
      <c r="CU678" s="4"/>
    </row>
    <row r="679">
      <c r="CU679" s="4"/>
    </row>
    <row r="680">
      <c r="CU680" s="4"/>
    </row>
    <row r="681">
      <c r="CU681" s="4"/>
    </row>
    <row r="682">
      <c r="CU682" s="4"/>
    </row>
    <row r="683">
      <c r="CU683" s="4"/>
    </row>
    <row r="684">
      <c r="CU684" s="4"/>
    </row>
    <row r="685">
      <c r="CU685" s="4"/>
    </row>
    <row r="686">
      <c r="CU686" s="4"/>
    </row>
    <row r="687">
      <c r="CU687" s="4"/>
    </row>
    <row r="688">
      <c r="CU688" s="4"/>
    </row>
    <row r="689">
      <c r="CU689" s="4"/>
    </row>
    <row r="690">
      <c r="CU690" s="4"/>
    </row>
    <row r="691">
      <c r="CU691" s="4"/>
    </row>
    <row r="692">
      <c r="CU692" s="4"/>
    </row>
    <row r="693">
      <c r="CU693" s="4"/>
    </row>
    <row r="694">
      <c r="CU694" s="4"/>
    </row>
    <row r="695">
      <c r="CU695" s="4"/>
    </row>
    <row r="696">
      <c r="CU696" s="4"/>
    </row>
    <row r="697">
      <c r="CU697" s="4"/>
    </row>
    <row r="698">
      <c r="CU698" s="4"/>
    </row>
    <row r="699">
      <c r="CU699" s="4"/>
    </row>
    <row r="700">
      <c r="CU700" s="4"/>
    </row>
    <row r="701">
      <c r="CU701" s="4"/>
    </row>
    <row r="702">
      <c r="CU702" s="4"/>
    </row>
    <row r="703">
      <c r="CU703" s="4"/>
    </row>
    <row r="704">
      <c r="CU704" s="4"/>
    </row>
    <row r="705">
      <c r="CU705" s="4"/>
    </row>
    <row r="706">
      <c r="CU706" s="4"/>
    </row>
    <row r="707">
      <c r="CU707" s="4"/>
    </row>
    <row r="708">
      <c r="CU708" s="4"/>
    </row>
    <row r="709">
      <c r="CU709" s="4"/>
    </row>
    <row r="710">
      <c r="CU710" s="4"/>
    </row>
    <row r="711">
      <c r="CU711" s="4"/>
    </row>
    <row r="712">
      <c r="CU712" s="4"/>
    </row>
    <row r="713">
      <c r="CU713" s="4"/>
    </row>
    <row r="714">
      <c r="CU714" s="4"/>
    </row>
    <row r="715">
      <c r="CU715" s="4"/>
    </row>
    <row r="716">
      <c r="CU716" s="4"/>
    </row>
    <row r="717">
      <c r="CU717" s="4"/>
    </row>
    <row r="718">
      <c r="CU718" s="4"/>
    </row>
    <row r="719">
      <c r="CU719" s="4"/>
    </row>
    <row r="720">
      <c r="CU720" s="4"/>
    </row>
    <row r="721">
      <c r="CU721" s="4"/>
    </row>
    <row r="722">
      <c r="CU722" s="4"/>
    </row>
    <row r="723">
      <c r="CU723" s="4"/>
    </row>
    <row r="724">
      <c r="CU724" s="4"/>
    </row>
    <row r="725">
      <c r="CU725" s="4"/>
    </row>
    <row r="726">
      <c r="CU726" s="4"/>
    </row>
    <row r="727">
      <c r="CU727" s="4"/>
    </row>
    <row r="728">
      <c r="CU728" s="4"/>
    </row>
    <row r="729">
      <c r="CU729" s="4"/>
    </row>
    <row r="730">
      <c r="CU730" s="4"/>
    </row>
    <row r="731">
      <c r="CU731" s="4"/>
    </row>
    <row r="732">
      <c r="CU732" s="4"/>
    </row>
    <row r="733">
      <c r="CU733" s="4"/>
    </row>
    <row r="734">
      <c r="CU734" s="4"/>
    </row>
    <row r="735">
      <c r="CU735" s="4"/>
    </row>
    <row r="736">
      <c r="CU736" s="4"/>
    </row>
    <row r="737">
      <c r="CU737" s="4"/>
    </row>
    <row r="738">
      <c r="CU738" s="4"/>
    </row>
    <row r="739">
      <c r="CU739" s="4"/>
    </row>
    <row r="740">
      <c r="CU740" s="4"/>
    </row>
    <row r="741">
      <c r="CU741" s="4"/>
    </row>
    <row r="742">
      <c r="CU742" s="4"/>
    </row>
    <row r="743">
      <c r="CU743" s="4"/>
    </row>
    <row r="744">
      <c r="CU744" s="4"/>
    </row>
    <row r="745">
      <c r="CU745" s="4"/>
    </row>
    <row r="746">
      <c r="CU746" s="4"/>
    </row>
    <row r="747">
      <c r="CU747" s="4"/>
    </row>
    <row r="748">
      <c r="CU748" s="4"/>
    </row>
    <row r="749">
      <c r="CU749" s="4"/>
    </row>
    <row r="750">
      <c r="CU750" s="4"/>
    </row>
    <row r="751">
      <c r="CU751" s="4"/>
    </row>
    <row r="752">
      <c r="CU752" s="4"/>
    </row>
    <row r="753">
      <c r="CU753" s="4"/>
    </row>
    <row r="754">
      <c r="CU754" s="4"/>
    </row>
    <row r="755">
      <c r="CU755" s="4"/>
    </row>
    <row r="756">
      <c r="CU756" s="4"/>
    </row>
    <row r="757">
      <c r="CU757" s="4"/>
    </row>
    <row r="758">
      <c r="CU758" s="4"/>
    </row>
    <row r="759">
      <c r="CU759" s="4"/>
    </row>
    <row r="760">
      <c r="CU760" s="4"/>
    </row>
    <row r="761">
      <c r="CU761" s="4"/>
    </row>
    <row r="762">
      <c r="CU762" s="4"/>
    </row>
    <row r="763">
      <c r="CU763" s="4"/>
    </row>
    <row r="764">
      <c r="CU764" s="4"/>
    </row>
    <row r="765">
      <c r="CU765" s="4"/>
    </row>
    <row r="766">
      <c r="CU766" s="4"/>
    </row>
    <row r="767">
      <c r="CU767" s="4"/>
    </row>
    <row r="768">
      <c r="CU768" s="4"/>
    </row>
    <row r="769">
      <c r="CU769" s="4"/>
    </row>
    <row r="770">
      <c r="CU770" s="4"/>
    </row>
    <row r="771">
      <c r="CU771" s="4"/>
    </row>
    <row r="772">
      <c r="CU772" s="4"/>
    </row>
    <row r="773">
      <c r="CU773" s="4"/>
    </row>
    <row r="774">
      <c r="CU774" s="4"/>
    </row>
    <row r="775">
      <c r="CU775" s="4"/>
    </row>
    <row r="776">
      <c r="CU776" s="4"/>
    </row>
    <row r="777">
      <c r="CU777" s="4"/>
    </row>
    <row r="778">
      <c r="CU778" s="4"/>
    </row>
    <row r="779">
      <c r="CU779" s="4"/>
    </row>
    <row r="780">
      <c r="CU780" s="4"/>
    </row>
    <row r="781">
      <c r="CU781" s="4"/>
    </row>
    <row r="782">
      <c r="CU782" s="4"/>
    </row>
    <row r="783">
      <c r="CU783" s="4"/>
    </row>
    <row r="784">
      <c r="CU784" s="4"/>
    </row>
    <row r="785">
      <c r="CU785" s="4"/>
    </row>
    <row r="786">
      <c r="CU786" s="4"/>
    </row>
    <row r="787">
      <c r="CU787" s="4"/>
    </row>
    <row r="788">
      <c r="CU788" s="4"/>
    </row>
    <row r="789">
      <c r="CU789" s="4"/>
    </row>
    <row r="790">
      <c r="CU790" s="4"/>
    </row>
    <row r="791">
      <c r="CU791" s="4"/>
    </row>
    <row r="792">
      <c r="CU792" s="4"/>
    </row>
    <row r="793">
      <c r="CU793" s="4"/>
    </row>
    <row r="794">
      <c r="CU794" s="4"/>
    </row>
    <row r="795">
      <c r="CU795" s="4"/>
    </row>
    <row r="796">
      <c r="CU796" s="4"/>
    </row>
    <row r="797">
      <c r="CU797" s="4"/>
    </row>
    <row r="798">
      <c r="CU798" s="4"/>
    </row>
    <row r="799">
      <c r="CU799" s="4"/>
    </row>
    <row r="800">
      <c r="CU800" s="4"/>
    </row>
    <row r="801">
      <c r="CU801" s="4"/>
    </row>
    <row r="802">
      <c r="CU802" s="4"/>
    </row>
    <row r="803">
      <c r="CU803" s="4"/>
    </row>
    <row r="804">
      <c r="CU804" s="4"/>
    </row>
    <row r="805">
      <c r="CU805" s="4"/>
    </row>
    <row r="806">
      <c r="CU806" s="4"/>
    </row>
    <row r="807">
      <c r="CU807" s="4"/>
    </row>
    <row r="808">
      <c r="CU808" s="4"/>
    </row>
    <row r="809">
      <c r="CU809" s="4"/>
    </row>
    <row r="810">
      <c r="CU810" s="4"/>
    </row>
    <row r="811">
      <c r="CU811" s="4"/>
    </row>
    <row r="812">
      <c r="CU812" s="4"/>
    </row>
    <row r="813">
      <c r="CU813" s="4"/>
    </row>
    <row r="814">
      <c r="CU814" s="4"/>
    </row>
    <row r="815">
      <c r="CU815" s="4"/>
    </row>
    <row r="816">
      <c r="CU816" s="4"/>
    </row>
    <row r="817">
      <c r="CU817" s="4"/>
    </row>
    <row r="818">
      <c r="CU818" s="4"/>
    </row>
    <row r="819">
      <c r="CU819" s="4"/>
    </row>
    <row r="820">
      <c r="CU820" s="4"/>
    </row>
    <row r="821">
      <c r="CU821" s="4"/>
    </row>
    <row r="822">
      <c r="CU822" s="4"/>
    </row>
    <row r="823">
      <c r="CU823" s="4"/>
    </row>
    <row r="824">
      <c r="CU824" s="4"/>
    </row>
    <row r="825">
      <c r="CU825" s="4"/>
    </row>
    <row r="826">
      <c r="CU826" s="4"/>
    </row>
    <row r="827">
      <c r="CU827" s="4"/>
    </row>
    <row r="828">
      <c r="CU828" s="4"/>
    </row>
    <row r="829">
      <c r="CU829" s="4"/>
    </row>
    <row r="830">
      <c r="CU830" s="4"/>
    </row>
    <row r="831">
      <c r="CU831" s="4"/>
    </row>
    <row r="832">
      <c r="CU832" s="4"/>
    </row>
    <row r="833">
      <c r="CU833" s="4"/>
    </row>
    <row r="834">
      <c r="CU834" s="4"/>
    </row>
    <row r="835">
      <c r="CU835" s="4"/>
    </row>
    <row r="836">
      <c r="CU836" s="4"/>
    </row>
    <row r="837">
      <c r="CU837" s="4"/>
    </row>
    <row r="838">
      <c r="CU838" s="4"/>
    </row>
    <row r="839">
      <c r="CU839" s="4"/>
    </row>
    <row r="840">
      <c r="CU840" s="4"/>
    </row>
    <row r="841">
      <c r="CU841" s="4"/>
    </row>
    <row r="842">
      <c r="CU842" s="4"/>
    </row>
    <row r="843">
      <c r="CU843" s="4"/>
    </row>
    <row r="844">
      <c r="CU844" s="4"/>
    </row>
    <row r="845">
      <c r="CU845" s="4"/>
    </row>
    <row r="846">
      <c r="CU846" s="4"/>
    </row>
    <row r="847">
      <c r="CU847" s="4"/>
    </row>
    <row r="848">
      <c r="CU848" s="4"/>
    </row>
    <row r="849">
      <c r="CU849" s="4"/>
    </row>
    <row r="850">
      <c r="CU850" s="4"/>
    </row>
    <row r="851">
      <c r="CU851" s="4"/>
    </row>
    <row r="852">
      <c r="CU852" s="4"/>
    </row>
    <row r="853">
      <c r="CU853" s="4"/>
    </row>
    <row r="854">
      <c r="CU854" s="4"/>
    </row>
    <row r="855">
      <c r="CU855" s="4"/>
    </row>
    <row r="856">
      <c r="CU856" s="4"/>
    </row>
    <row r="857">
      <c r="CU857" s="4"/>
    </row>
    <row r="858">
      <c r="CU858" s="4"/>
    </row>
    <row r="859">
      <c r="CU859" s="4"/>
    </row>
    <row r="860">
      <c r="CU860" s="4"/>
    </row>
    <row r="861">
      <c r="CU861" s="4"/>
    </row>
    <row r="862">
      <c r="CU862" s="4"/>
    </row>
    <row r="863">
      <c r="CU863" s="4"/>
    </row>
    <row r="864">
      <c r="CU864" s="4"/>
    </row>
    <row r="865">
      <c r="CU865" s="4"/>
    </row>
    <row r="866">
      <c r="CU866" s="4"/>
    </row>
    <row r="867">
      <c r="CU867" s="4"/>
    </row>
    <row r="868">
      <c r="CU868" s="4"/>
    </row>
    <row r="869">
      <c r="CU869" s="4"/>
    </row>
    <row r="870">
      <c r="CU870" s="4"/>
    </row>
    <row r="871">
      <c r="CU871" s="4"/>
    </row>
    <row r="872">
      <c r="CU872" s="4"/>
    </row>
    <row r="873">
      <c r="CU873" s="4"/>
    </row>
    <row r="874">
      <c r="CU874" s="4"/>
    </row>
    <row r="875">
      <c r="CU875" s="4"/>
    </row>
    <row r="876">
      <c r="CU876" s="4"/>
    </row>
    <row r="877">
      <c r="CU877" s="4"/>
    </row>
    <row r="878">
      <c r="CU878" s="4"/>
    </row>
    <row r="879">
      <c r="CU879" s="4"/>
    </row>
    <row r="880">
      <c r="CU880" s="4"/>
    </row>
    <row r="881">
      <c r="CU881" s="4"/>
    </row>
    <row r="882">
      <c r="CU882" s="4"/>
    </row>
    <row r="883">
      <c r="CU883" s="4"/>
    </row>
    <row r="884">
      <c r="CU884" s="4"/>
    </row>
    <row r="885">
      <c r="CU885" s="4"/>
    </row>
    <row r="886">
      <c r="CU886" s="4"/>
    </row>
    <row r="887">
      <c r="CU887" s="4"/>
    </row>
    <row r="888">
      <c r="CU888" s="4"/>
    </row>
    <row r="889">
      <c r="CU889" s="4"/>
    </row>
    <row r="890">
      <c r="CU890" s="4"/>
    </row>
    <row r="891">
      <c r="CU891" s="4"/>
    </row>
    <row r="892">
      <c r="CU892" s="4"/>
    </row>
    <row r="893">
      <c r="CU893" s="4"/>
    </row>
    <row r="894">
      <c r="CU894" s="4"/>
    </row>
    <row r="895">
      <c r="CU895" s="4"/>
    </row>
    <row r="896">
      <c r="CU896" s="4"/>
    </row>
    <row r="897">
      <c r="CU897" s="4"/>
    </row>
    <row r="898">
      <c r="CU898" s="4"/>
    </row>
    <row r="899">
      <c r="CU899" s="4"/>
    </row>
    <row r="900">
      <c r="CU900" s="4"/>
    </row>
    <row r="901">
      <c r="CU901" s="4"/>
    </row>
    <row r="902">
      <c r="CU902" s="4"/>
    </row>
    <row r="903">
      <c r="CU903" s="4"/>
    </row>
    <row r="904">
      <c r="CU904" s="4"/>
    </row>
    <row r="905">
      <c r="CU905" s="4"/>
    </row>
    <row r="906">
      <c r="CU906" s="4"/>
    </row>
    <row r="907">
      <c r="CU907" s="4"/>
    </row>
    <row r="908">
      <c r="CU908" s="4"/>
    </row>
    <row r="909">
      <c r="CU909" s="4"/>
    </row>
    <row r="910">
      <c r="CU910" s="4"/>
    </row>
    <row r="911">
      <c r="CU911" s="4"/>
    </row>
    <row r="912">
      <c r="CU912" s="4"/>
    </row>
    <row r="913">
      <c r="CU913" s="4"/>
    </row>
    <row r="914">
      <c r="CU914" s="4"/>
    </row>
    <row r="915">
      <c r="CU915" s="4"/>
    </row>
    <row r="916">
      <c r="CU916" s="4"/>
    </row>
    <row r="917">
      <c r="CU917" s="4"/>
    </row>
    <row r="918">
      <c r="CU918" s="4"/>
    </row>
    <row r="919">
      <c r="CU919" s="4"/>
    </row>
    <row r="920">
      <c r="CU920" s="4"/>
    </row>
    <row r="921">
      <c r="CU921" s="4"/>
    </row>
    <row r="922">
      <c r="CU922" s="4"/>
    </row>
    <row r="923">
      <c r="CU923" s="4"/>
    </row>
    <row r="924">
      <c r="CU924" s="4"/>
    </row>
    <row r="925">
      <c r="CU925" s="4"/>
    </row>
    <row r="926">
      <c r="CU926" s="4"/>
    </row>
    <row r="927">
      <c r="CU927" s="4"/>
    </row>
    <row r="928">
      <c r="CU928" s="4"/>
    </row>
    <row r="929">
      <c r="CU929" s="4"/>
    </row>
    <row r="930">
      <c r="CU930" s="4"/>
    </row>
    <row r="931">
      <c r="CU931" s="4"/>
    </row>
    <row r="932">
      <c r="CU932" s="4"/>
    </row>
    <row r="933">
      <c r="CU933" s="4"/>
    </row>
    <row r="934">
      <c r="CU934" s="4"/>
    </row>
    <row r="935">
      <c r="CU935" s="4"/>
    </row>
    <row r="936">
      <c r="CU936" s="4"/>
    </row>
    <row r="937">
      <c r="CU937" s="4"/>
    </row>
    <row r="938">
      <c r="CU938" s="4"/>
    </row>
    <row r="939">
      <c r="CU939" s="4"/>
    </row>
    <row r="940">
      <c r="CU940" s="4"/>
    </row>
    <row r="941">
      <c r="CU941" s="4"/>
    </row>
    <row r="942">
      <c r="CU942" s="4"/>
    </row>
    <row r="943">
      <c r="CU943" s="4"/>
    </row>
    <row r="944">
      <c r="CU944" s="4"/>
    </row>
    <row r="945">
      <c r="CU945" s="4"/>
    </row>
    <row r="946">
      <c r="CU946" s="4"/>
    </row>
    <row r="947">
      <c r="CU947" s="4"/>
    </row>
    <row r="948">
      <c r="CU948" s="4"/>
    </row>
    <row r="949">
      <c r="CU949" s="4"/>
    </row>
    <row r="950">
      <c r="CU950" s="4"/>
    </row>
    <row r="951">
      <c r="CU951" s="4"/>
    </row>
    <row r="952">
      <c r="CU952" s="4"/>
    </row>
    <row r="953">
      <c r="CU953" s="4"/>
    </row>
    <row r="954">
      <c r="CU954" s="4"/>
    </row>
    <row r="955">
      <c r="CU955" s="4"/>
    </row>
    <row r="956">
      <c r="CU956" s="4"/>
    </row>
    <row r="957">
      <c r="CU957" s="4"/>
    </row>
    <row r="958">
      <c r="CU958" s="4"/>
    </row>
    <row r="959">
      <c r="CU959" s="4"/>
    </row>
    <row r="960">
      <c r="CU960" s="4"/>
    </row>
    <row r="961">
      <c r="CU961" s="4"/>
    </row>
    <row r="962">
      <c r="CU962" s="4"/>
    </row>
    <row r="963">
      <c r="CU963" s="4"/>
    </row>
    <row r="964">
      <c r="CU964" s="4"/>
    </row>
    <row r="965">
      <c r="CU965" s="4"/>
    </row>
    <row r="966">
      <c r="CU966" s="4"/>
    </row>
    <row r="967">
      <c r="CU967" s="4"/>
    </row>
    <row r="968">
      <c r="CU968" s="4"/>
    </row>
    <row r="969">
      <c r="CU969" s="4"/>
    </row>
    <row r="970">
      <c r="CU970" s="4"/>
    </row>
    <row r="971">
      <c r="CU971" s="4"/>
    </row>
    <row r="972">
      <c r="CU972" s="4"/>
    </row>
    <row r="973">
      <c r="CU973" s="4"/>
    </row>
    <row r="974">
      <c r="CU974" s="4"/>
    </row>
    <row r="975">
      <c r="CU975" s="4"/>
    </row>
    <row r="976">
      <c r="CU976" s="4"/>
    </row>
    <row r="977">
      <c r="CU977" s="4"/>
    </row>
    <row r="978">
      <c r="CU978" s="4"/>
    </row>
    <row r="979">
      <c r="CU979" s="4"/>
    </row>
    <row r="980">
      <c r="CU980" s="4"/>
    </row>
    <row r="981">
      <c r="CU981" s="4"/>
    </row>
    <row r="982">
      <c r="CU982" s="4"/>
    </row>
    <row r="983">
      <c r="CU983" s="4"/>
    </row>
    <row r="984">
      <c r="CU984" s="4"/>
    </row>
    <row r="985">
      <c r="CU985" s="4"/>
    </row>
    <row r="986">
      <c r="CU986" s="4"/>
    </row>
    <row r="987">
      <c r="CU987" s="4"/>
    </row>
    <row r="988">
      <c r="CU988" s="4"/>
    </row>
    <row r="989">
      <c r="CU989" s="4"/>
    </row>
    <row r="990">
      <c r="CU990" s="4"/>
    </row>
    <row r="991">
      <c r="CU991" s="4"/>
    </row>
    <row r="992">
      <c r="CU992" s="4"/>
    </row>
    <row r="993">
      <c r="CU993" s="4"/>
    </row>
    <row r="994">
      <c r="CU994" s="4"/>
    </row>
    <row r="995">
      <c r="CU995" s="4"/>
    </row>
    <row r="996">
      <c r="CU996" s="4"/>
    </row>
  </sheetData>
  <mergeCells count="48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H1:BI1"/>
    <mergeCell ref="BJ1:BK1"/>
    <mergeCell ref="BL1:BM1"/>
    <mergeCell ref="BN1:BO1"/>
    <mergeCell ref="BP1:BQ1"/>
    <mergeCell ref="BR1:BS1"/>
    <mergeCell ref="CH1:CI1"/>
    <mergeCell ref="CJ1:CK1"/>
    <mergeCell ref="CL1:CM1"/>
    <mergeCell ref="CN1:CO1"/>
    <mergeCell ref="CP1:CQ1"/>
    <mergeCell ref="CR1:CS1"/>
    <mergeCell ref="BT1:BU1"/>
    <mergeCell ref="BV1:BW1"/>
    <mergeCell ref="BX1:BY1"/>
    <mergeCell ref="BZ1:CA1"/>
    <mergeCell ref="CB1:CC1"/>
    <mergeCell ref="CD1:CE1"/>
    <mergeCell ref="CF1:CG1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1.0"/>
    <col customWidth="1" min="2" max="2" width="15.13"/>
    <col customWidth="1" min="3" max="3" width="14.0"/>
    <col customWidth="1" min="18" max="18" width="21.13"/>
  </cols>
  <sheetData>
    <row r="1">
      <c r="A1" s="17" t="s">
        <v>247</v>
      </c>
      <c r="B1" s="17" t="s">
        <v>248</v>
      </c>
      <c r="D1" s="17" t="s">
        <v>249</v>
      </c>
      <c r="F1" s="17" t="s">
        <v>250</v>
      </c>
      <c r="H1" s="17" t="s">
        <v>251</v>
      </c>
      <c r="J1" s="17" t="s">
        <v>252</v>
      </c>
      <c r="L1" s="17" t="s">
        <v>253</v>
      </c>
      <c r="N1" s="17" t="s">
        <v>254</v>
      </c>
      <c r="P1" s="17" t="s">
        <v>255</v>
      </c>
      <c r="R1" s="4"/>
    </row>
    <row r="2">
      <c r="B2" s="17" t="s">
        <v>208</v>
      </c>
      <c r="C2" s="17" t="s">
        <v>244</v>
      </c>
      <c r="D2" s="17" t="s">
        <v>208</v>
      </c>
      <c r="E2" s="17" t="s">
        <v>244</v>
      </c>
      <c r="F2" s="17" t="s">
        <v>208</v>
      </c>
      <c r="G2" s="17" t="s">
        <v>244</v>
      </c>
      <c r="H2" s="17" t="s">
        <v>208</v>
      </c>
      <c r="I2" s="17" t="s">
        <v>244</v>
      </c>
      <c r="J2" s="17" t="s">
        <v>208</v>
      </c>
      <c r="K2" s="17" t="s">
        <v>244</v>
      </c>
      <c r="L2" s="17" t="s">
        <v>208</v>
      </c>
      <c r="M2" s="17" t="s">
        <v>244</v>
      </c>
      <c r="N2" s="17" t="s">
        <v>208</v>
      </c>
      <c r="O2" s="17" t="s">
        <v>244</v>
      </c>
      <c r="P2" s="17" t="s">
        <v>208</v>
      </c>
      <c r="Q2" s="17" t="s">
        <v>244</v>
      </c>
      <c r="R2" s="17" t="s">
        <v>256</v>
      </c>
    </row>
    <row r="3">
      <c r="A3" s="3" t="str">
        <f>'Pollas Octavos de Final'!C3</f>
        <v>Alejandro Botero</v>
      </c>
      <c r="B3" s="4" t="str">
        <f>GANADOR_MARCADOR_POLLA('Pollas Octavos de Final'!D3,'Pollas Octavos de Final'!$D$2,'Pollas Octavos de Final'!E3,'Pollas Octavos de Final'!$E$2)</f>
        <v>Paises Bajos</v>
      </c>
      <c r="C3" s="4">
        <f>PUNTAJE_GANADORES('Pollas Octavos de Final'!D3,'Resultados Oficiales Octavos de'!$C$2,'Pollas Octavos de Final'!E3,'Resultados Oficiales Octavos de'!$D$2,B3,'Resultados Oficiales Octavos de'!$F$2)</f>
        <v>2</v>
      </c>
      <c r="D3" s="4" t="str">
        <f>GANADOR_MARCADOR_POLLA('Pollas Octavos de Final'!H3,'Pollas Octavos de Final'!$H$2,'Pollas Octavos de Final'!I3,'Pollas Octavos de Final'!$I$2)</f>
        <v>Argentina</v>
      </c>
      <c r="E3" s="4">
        <f>PUNTAJE_GANADORES('Pollas Octavos de Final'!H3,'Resultados Oficiales Octavos de'!C3,'Pollas Octavos de Final'!I3,'Resultados Oficiales Octavos de'!D3,D3,'Resultados Oficiales Octavos de'!F3)</f>
        <v>2</v>
      </c>
      <c r="F3" s="4" t="str">
        <f>GANADOR_MARCADOR_POLLA('Pollas Octavos de Final'!J3,'Pollas Octavos de Final'!$J$2,'Pollas Octavos de Final'!K3,'Pollas Octavos de Final'!$K$2)</f>
        <v>Francia</v>
      </c>
      <c r="G3" s="4">
        <f>PUNTAJE_GANADORES('Pollas Octavos de Final'!J3,'Resultados Oficiales Octavos de'!$C$4,'Pollas Octavos de Final'!K3,'Resultados Oficiales Octavos de'!$D$4,F3,'Resultados Oficiales Octavos de'!$F$4)</f>
        <v>3</v>
      </c>
      <c r="H3" s="4" t="str">
        <f>GANADOR_MARCADOR_POLLA('Pollas Octavos de Final'!F3,'Pollas Octavos de Final'!$F$2,'Pollas Octavos de Final'!G3,'Pollas Octavos de Final'!$G$2)</f>
        <v>Inglaterra</v>
      </c>
      <c r="I3" s="4">
        <f>PUNTAJE_GANADORES('Pollas Octavos de Final'!F3,'Resultados Oficiales Octavos de'!$C$5,'Pollas Octavos de Final'!G3,'Resultados Oficiales Octavos de'!$D$5,H3,'Resultados Oficiales Octavos de'!$F$5)</f>
        <v>2</v>
      </c>
      <c r="J3" s="4" t="str">
        <f>GANADOR_MARCADOR_POLLA('Pollas Octavos de Final'!L3,'Pollas Octavos de Final'!$L$2,'Pollas Octavos de Final'!M3,'Pollas Octavos de Final'!$M$2)</f>
        <v>Japón</v>
      </c>
      <c r="K3" s="4">
        <f>PUNTAJE_GANADORES('Pollas Octavos de Final'!L3,'Resultados Oficiales Octavos de'!$C$6,'Pollas Octavos de Final'!M3,'Resultados Oficiales Octavos de'!$D$6,J3,'Resultados Oficiales Octavos de'!$F$6)</f>
        <v>1</v>
      </c>
      <c r="L3" s="4" t="str">
        <f>GANADOR_MARCADOR_POLLA('Pollas Octavos de Final'!P3,'Pollas Octavos de Final'!$P$2,'Pollas Octavos de Final'!Q3,'Pollas Octavos de Final'!$Q$2)</f>
        <v>Brasil</v>
      </c>
      <c r="M3" s="4">
        <f>PUNTAJE_GANADORES('Pollas Octavos de Final'!P3,'Resultados Oficiales Octavos de'!$C$7,'Pollas Octavos de Final'!Q3,'Resultados Oficiales Octavos de'!$D$7,L3,'Resultados Oficiales Octavos de'!$F$7)</f>
        <v>3</v>
      </c>
      <c r="N3" s="4" t="str">
        <f>GANADOR_MARCADOR_POLLA('Pollas Octavos de Final'!N3,'Pollas Octavos de Final'!$N$2,'Pollas Octavos de Final'!O3,'Pollas Octavos de Final'!$O$2)</f>
        <v>EMPATE</v>
      </c>
      <c r="O3" s="4">
        <f>PUNTAJE_GANADORES('Pollas Octavos de Final'!N3,'Resultados Oficiales Octavos de'!$C$8,'Pollas Octavos de Final'!O3,'Resultados Oficiales Octavos de'!$D$8,N3,'Resultados Oficiales Octavos de'!$F$8)</f>
        <v>1</v>
      </c>
      <c r="P3" s="4" t="str">
        <f>GANADOR_MARCADOR_POLLA('Pollas Octavos de Final'!R3,'Pollas Octavos de Final'!$R$2,'Pollas Octavos de Final'!S3,'Pollas Octavos de Final'!$S$2)</f>
        <v>Portugal</v>
      </c>
      <c r="Q3" s="4">
        <f>PUNTAJE_GANADORES('Pollas Octavos de Final'!R3,'Resultados Oficiales Octavos de'!$C$9,'Pollas Octavos de Final'!S3,'Resultados Oficiales Octavos de'!$D$9,P3,'Resultados Oficiales Octavos de'!$F$9)</f>
        <v>2</v>
      </c>
      <c r="R3" s="4">
        <f t="shared" ref="R3:R31" si="1">SUM(C3,E3,G3,I3,K3,M3,O3,Q3)</f>
        <v>16</v>
      </c>
    </row>
    <row r="4">
      <c r="A4" s="3" t="str">
        <f>'Pollas Octavos de Final'!C4</f>
        <v>Ana Maria Corpas</v>
      </c>
      <c r="B4" s="4" t="str">
        <f>GANADOR_MARCADOR_POLLA('Pollas Octavos de Final'!D4,'Pollas Octavos de Final'!$D$2,'Pollas Octavos de Final'!E4,'Pollas Octavos de Final'!$E$2)</f>
        <v>Paises Bajos</v>
      </c>
      <c r="C4" s="4">
        <f>PUNTAJE_GANADORES('Pollas Octavos de Final'!D4,'Resultados Oficiales Octavos de'!$C$2,'Pollas Octavos de Final'!E4,'Resultados Oficiales Octavos de'!$D$2,B4,'Resultados Oficiales Octavos de'!$F$2)</f>
        <v>3</v>
      </c>
      <c r="D4" s="4" t="str">
        <f>GANADOR_MARCADOR_POLLA('Pollas Octavos de Final'!H4,'Pollas Octavos de Final'!$H$2,'Pollas Octavos de Final'!I4,'Pollas Octavos de Final'!$I$2)</f>
        <v>Argentina</v>
      </c>
      <c r="E4" s="4">
        <f>PUNTAJE_GANADORES('Pollas Octavos de Final'!H4,'Resultados Oficiales Octavos de'!$C$3,'Pollas Octavos de Final'!I4,'Resultados Oficiales Octavos de'!$D$3,D4,'Resultados Oficiales Octavos de'!$F$3)</f>
        <v>2</v>
      </c>
      <c r="F4" s="4" t="str">
        <f>GANADOR_MARCADOR_POLLA('Pollas Octavos de Final'!J4,'Pollas Octavos de Final'!$J$2,'Pollas Octavos de Final'!K4,'Pollas Octavos de Final'!$K$2)</f>
        <v>Francia</v>
      </c>
      <c r="G4" s="4">
        <f>PUNTAJE_GANADORES('Pollas Octavos de Final'!J4,'Resultados Oficiales Octavos de'!$C$4,'Pollas Octavos de Final'!K4,'Resultados Oficiales Octavos de'!$D$4,F4,'Resultados Oficiales Octavos de'!$F$4)</f>
        <v>3</v>
      </c>
      <c r="H4" s="4" t="str">
        <f>GANADOR_MARCADOR_POLLA('Pollas Octavos de Final'!F4,'Pollas Octavos de Final'!$F$2,'Pollas Octavos de Final'!G4,'Pollas Octavos de Final'!$G$2)</f>
        <v>Inglaterra</v>
      </c>
      <c r="I4" s="4">
        <f>PUNTAJE_GANADORES('Pollas Octavos de Final'!F4,'Resultados Oficiales Octavos de'!$C$5,'Pollas Octavos de Final'!G4,'Resultados Oficiales Octavos de'!$D$5,H4,'Resultados Oficiales Octavos de'!$F$5)</f>
        <v>3</v>
      </c>
      <c r="J4" s="4" t="str">
        <f>GANADOR_MARCADOR_POLLA('Pollas Octavos de Final'!L4,'Pollas Octavos de Final'!$L$2,'Pollas Octavos de Final'!M4,'Pollas Octavos de Final'!$M$2)</f>
        <v>Japón</v>
      </c>
      <c r="K4" s="4">
        <f>PUNTAJE_GANADORES('Pollas Octavos de Final'!L4,'Resultados Oficiales Octavos de'!$C$6,'Pollas Octavos de Final'!M4,'Resultados Oficiales Octavos de'!$D$6,J4,'Resultados Oficiales Octavos de'!$F$6)</f>
        <v>0</v>
      </c>
      <c r="L4" s="4" t="str">
        <f>GANADOR_MARCADOR_POLLA('Pollas Octavos de Final'!P4,'Pollas Octavos de Final'!$P$2,'Pollas Octavos de Final'!Q4,'Pollas Octavos de Final'!$Q$2)</f>
        <v>Brasil</v>
      </c>
      <c r="M4" s="4">
        <f>PUNTAJE_GANADORES('Pollas Octavos de Final'!P4,'Resultados Oficiales Octavos de'!$C$7,'Pollas Octavos de Final'!Q4,'Resultados Oficiales Octavos de'!$D$7,L4,'Resultados Oficiales Octavos de'!$F$7)</f>
        <v>3</v>
      </c>
      <c r="N4" s="4" t="str">
        <f>GANADOR_MARCADOR_POLLA('Pollas Octavos de Final'!N4,'Pollas Octavos de Final'!$N$2,'Pollas Octavos de Final'!O4,'Pollas Octavos de Final'!$O$2)</f>
        <v>EMPATE</v>
      </c>
      <c r="O4" s="4">
        <f>PUNTAJE_GANADORES('Pollas Octavos de Final'!N4,'Resultados Oficiales Octavos de'!$C$8,'Pollas Octavos de Final'!O4,'Resultados Oficiales Octavos de'!$D$8,N4,'Resultados Oficiales Octavos de'!$F$8)</f>
        <v>1</v>
      </c>
      <c r="P4" s="4" t="str">
        <f>GANADOR_MARCADOR_POLLA('Pollas Octavos de Final'!R4,'Pollas Octavos de Final'!$R$2,'Pollas Octavos de Final'!S4,'Pollas Octavos de Final'!$S$2)</f>
        <v>EMPATE</v>
      </c>
      <c r="Q4" s="4">
        <f>PUNTAJE_GANADORES('Pollas Octavos de Final'!R4,'Resultados Oficiales Octavos de'!$C$9,'Pollas Octavos de Final'!S4,'Resultados Oficiales Octavos de'!$D$9,P4,'Resultados Oficiales Octavos de'!$F$9)</f>
        <v>0</v>
      </c>
      <c r="R4" s="4">
        <f t="shared" si="1"/>
        <v>15</v>
      </c>
    </row>
    <row r="5">
      <c r="A5" s="3" t="str">
        <f>'Pollas Octavos de Final'!C5</f>
        <v>Marta Restrepo</v>
      </c>
      <c r="B5" s="4" t="str">
        <f>GANADOR_MARCADOR_POLLA('Pollas Octavos de Final'!D5,'Pollas Octavos de Final'!$D$2,'Pollas Octavos de Final'!E5,'Pollas Octavos de Final'!$E$2)</f>
        <v>Estados Unidos</v>
      </c>
      <c r="C5" s="4">
        <f>PUNTAJE_GANADORES('Pollas Octavos de Final'!D5,'Resultados Oficiales Octavos de'!$C$2,'Pollas Octavos de Final'!E5,'Resultados Oficiales Octavos de'!$D$2,B5,'Resultados Oficiales Octavos de'!$F$2)</f>
        <v>0</v>
      </c>
      <c r="D5" s="4" t="str">
        <f>GANADOR_MARCADOR_POLLA('Pollas Octavos de Final'!H5,'Pollas Octavos de Final'!$H$2,'Pollas Octavos de Final'!I5,'Pollas Octavos de Final'!$I$2)</f>
        <v>Argentina</v>
      </c>
      <c r="E5" s="4">
        <f>PUNTAJE_GANADORES('Pollas Octavos de Final'!H5,'Resultados Oficiales Octavos de'!$C$3,'Pollas Octavos de Final'!I5,'Resultados Oficiales Octavos de'!$D$3,D5,'Resultados Oficiales Octavos de'!$F$3)</f>
        <v>2</v>
      </c>
      <c r="F5" s="4" t="str">
        <f>GANADOR_MARCADOR_POLLA('Pollas Octavos de Final'!J5,'Pollas Octavos de Final'!$J$2,'Pollas Octavos de Final'!K5,'Pollas Octavos de Final'!$K$2)</f>
        <v>Polonia</v>
      </c>
      <c r="G5" s="4">
        <f>PUNTAJE_GANADORES('Pollas Octavos de Final'!J5,'Resultados Oficiales Octavos de'!$C$4,'Pollas Octavos de Final'!K5,'Resultados Oficiales Octavos de'!$D$4,F5,'Resultados Oficiales Octavos de'!$F$4)</f>
        <v>0</v>
      </c>
      <c r="H5" s="4" t="str">
        <f>GANADOR_MARCADOR_POLLA('Pollas Octavos de Final'!F5,'Pollas Octavos de Final'!$F$2,'Pollas Octavos de Final'!G5,'Pollas Octavos de Final'!$G$2)</f>
        <v>Inglaterra</v>
      </c>
      <c r="I5" s="4">
        <f>PUNTAJE_GANADORES('Pollas Octavos de Final'!F5,'Resultados Oficiales Octavos de'!$C$5,'Pollas Octavos de Final'!G5,'Resultados Oficiales Octavos de'!$D$5,H5,'Resultados Oficiales Octavos de'!$F$5)</f>
        <v>3</v>
      </c>
      <c r="J5" s="4" t="str">
        <f>GANADOR_MARCADOR_POLLA('Pollas Octavos de Final'!L5,'Pollas Octavos de Final'!$L$2,'Pollas Octavos de Final'!M5,'Pollas Octavos de Final'!$M$2)</f>
        <v>Japón</v>
      </c>
      <c r="K5" s="4">
        <f>PUNTAJE_GANADORES('Pollas Octavos de Final'!L5,'Resultados Oficiales Octavos de'!$C$6,'Pollas Octavos de Final'!M5,'Resultados Oficiales Octavos de'!$D$6,J5,'Resultados Oficiales Octavos de'!$F$6)</f>
        <v>0</v>
      </c>
      <c r="L5" s="4" t="str">
        <f>GANADOR_MARCADOR_POLLA('Pollas Octavos de Final'!P5,'Pollas Octavos de Final'!$P$2,'Pollas Octavos de Final'!Q5,'Pollas Octavos de Final'!$Q$2)</f>
        <v>Corea del Sur</v>
      </c>
      <c r="M5" s="4">
        <f>PUNTAJE_GANADORES('Pollas Octavos de Final'!P5,'Resultados Oficiales Octavos de'!$C$7,'Pollas Octavos de Final'!Q5,'Resultados Oficiales Octavos de'!$D$7,L5,'Resultados Oficiales Octavos de'!$F$7)</f>
        <v>0</v>
      </c>
      <c r="N5" s="4" t="str">
        <f>GANADOR_MARCADOR_POLLA('Pollas Octavos de Final'!N5,'Pollas Octavos de Final'!$N$2,'Pollas Octavos de Final'!O5,'Pollas Octavos de Final'!$O$2)</f>
        <v>Marruecos</v>
      </c>
      <c r="O5" s="4">
        <f>PUNTAJE_GANADORES('Pollas Octavos de Final'!N5,'Resultados Oficiales Octavos de'!$C$8,'Pollas Octavos de Final'!O5,'Resultados Oficiales Octavos de'!$D$8,N5,'Resultados Oficiales Octavos de'!$F$8)</f>
        <v>1</v>
      </c>
      <c r="P5" s="4" t="str">
        <f>GANADOR_MARCADOR_POLLA('Pollas Octavos de Final'!R5,'Pollas Octavos de Final'!$R$2,'Pollas Octavos de Final'!S5,'Pollas Octavos de Final'!$S$2)</f>
        <v>EMPATE</v>
      </c>
      <c r="Q5" s="4">
        <f>PUNTAJE_GANADORES('Pollas Octavos de Final'!R5,'Resultados Oficiales Octavos de'!$C$9,'Pollas Octavos de Final'!S5,'Resultados Oficiales Octavos de'!$D$9,P5,'Resultados Oficiales Octavos de'!$F$9)</f>
        <v>1</v>
      </c>
      <c r="R5" s="4">
        <f t="shared" si="1"/>
        <v>7</v>
      </c>
    </row>
    <row r="6">
      <c r="A6" s="3" t="str">
        <f>'Pollas Octavos de Final'!C6</f>
        <v>Alex Garcia</v>
      </c>
      <c r="B6" s="4" t="str">
        <f>GANADOR_MARCADOR_POLLA('Pollas Octavos de Final'!D6,'Pollas Octavos de Final'!$D$2,'Pollas Octavos de Final'!E6,'Pollas Octavos de Final'!$E$2)</f>
        <v>EMPATE</v>
      </c>
      <c r="C6" s="4">
        <f>PUNTAJE_GANADORES('Pollas Octavos de Final'!D6,'Resultados Oficiales Octavos de'!$C$2,'Pollas Octavos de Final'!E6,'Resultados Oficiales Octavos de'!$D$2,B6,'Resultados Oficiales Octavos de'!$F$2)</f>
        <v>1</v>
      </c>
      <c r="D6" s="4" t="str">
        <f>GANADOR_MARCADOR_POLLA('Pollas Octavos de Final'!H6,'Pollas Octavos de Final'!$H$2,'Pollas Octavos de Final'!I6,'Pollas Octavos de Final'!$I$2)</f>
        <v>Argentina</v>
      </c>
      <c r="E6" s="4">
        <f>PUNTAJE_GANADORES('Pollas Octavos de Final'!H6,'Resultados Oficiales Octavos de'!$C$3,'Pollas Octavos de Final'!I6,'Resultados Oficiales Octavos de'!$D$3,D6,'Resultados Oficiales Octavos de'!$F$3)</f>
        <v>3</v>
      </c>
      <c r="F6" s="4" t="str">
        <f>GANADOR_MARCADOR_POLLA('Pollas Octavos de Final'!J6,'Pollas Octavos de Final'!$J$2,'Pollas Octavos de Final'!K6,'Pollas Octavos de Final'!$K$2)</f>
        <v>Francia</v>
      </c>
      <c r="G6" s="4">
        <f>PUNTAJE_GANADORES('Pollas Octavos de Final'!J6,'Resultados Oficiales Octavos de'!$C$4,'Pollas Octavos de Final'!K6,'Resultados Oficiales Octavos de'!$D$4,F6,'Resultados Oficiales Octavos de'!$F$4)</f>
        <v>5</v>
      </c>
      <c r="H6" s="4" t="str">
        <f>GANADOR_MARCADOR_POLLA('Pollas Octavos de Final'!F6,'Pollas Octavos de Final'!$F$2,'Pollas Octavos de Final'!G6,'Pollas Octavos de Final'!$G$2)</f>
        <v>Inglaterra</v>
      </c>
      <c r="I6" s="4">
        <f>PUNTAJE_GANADORES('Pollas Octavos de Final'!F6,'Resultados Oficiales Octavos de'!$C$5,'Pollas Octavos de Final'!G6,'Resultados Oficiales Octavos de'!$D$5,H6,'Resultados Oficiales Octavos de'!$F$5)</f>
        <v>2</v>
      </c>
      <c r="J6" s="4" t="str">
        <f>GANADOR_MARCADOR_POLLA('Pollas Octavos de Final'!L6,'Pollas Octavos de Final'!$L$2,'Pollas Octavos de Final'!M6,'Pollas Octavos de Final'!$M$2)</f>
        <v>Japón</v>
      </c>
      <c r="K6" s="4">
        <f>PUNTAJE_GANADORES('Pollas Octavos de Final'!L6,'Resultados Oficiales Octavos de'!$C$6,'Pollas Octavos de Final'!M6,'Resultados Oficiales Octavos de'!$D$6,J6,'Resultados Oficiales Octavos de'!$F$6)</f>
        <v>1</v>
      </c>
      <c r="L6" s="4" t="str">
        <f>GANADOR_MARCADOR_POLLA('Pollas Octavos de Final'!P6,'Pollas Octavos de Final'!$P$2,'Pollas Octavos de Final'!Q6,'Pollas Octavos de Final'!$Q$2)</f>
        <v>Brasil</v>
      </c>
      <c r="M6" s="4">
        <f>PUNTAJE_GANADORES('Pollas Octavos de Final'!P6,'Resultados Oficiales Octavos de'!$C$7,'Pollas Octavos de Final'!Q6,'Resultados Oficiales Octavos de'!$D$7,L6,'Resultados Oficiales Octavos de'!$F$7)</f>
        <v>2</v>
      </c>
      <c r="N6" s="4" t="str">
        <f>GANADOR_MARCADOR_POLLA('Pollas Octavos de Final'!N6,'Pollas Octavos de Final'!$N$2,'Pollas Octavos de Final'!O6,'Pollas Octavos de Final'!$O$2)</f>
        <v>Marruecos</v>
      </c>
      <c r="O6" s="4">
        <f>PUNTAJE_GANADORES('Pollas Octavos de Final'!N6,'Resultados Oficiales Octavos de'!$C$8,'Pollas Octavos de Final'!O6,'Resultados Oficiales Octavos de'!$D$8,N6,'Resultados Oficiales Octavos de'!$F$8)</f>
        <v>0</v>
      </c>
      <c r="P6" s="4" t="str">
        <f>GANADOR_MARCADOR_POLLA('Pollas Octavos de Final'!R6,'Pollas Octavos de Final'!$R$2,'Pollas Octavos de Final'!S6,'Pollas Octavos de Final'!$S$2)</f>
        <v>Portugal</v>
      </c>
      <c r="Q6" s="4">
        <f>PUNTAJE_GANADORES('Pollas Octavos de Final'!R6,'Resultados Oficiales Octavos de'!$C$9,'Pollas Octavos de Final'!S6,'Resultados Oficiales Octavos de'!$D$9,P6,'Resultados Oficiales Octavos de'!$F$9)</f>
        <v>2</v>
      </c>
      <c r="R6" s="4">
        <f t="shared" si="1"/>
        <v>16</v>
      </c>
    </row>
    <row r="7">
      <c r="A7" s="3" t="str">
        <f>'Pollas Octavos de Final'!C7</f>
        <v>Lore Mira</v>
      </c>
      <c r="B7" s="4" t="str">
        <f>GANADOR_MARCADOR_POLLA('Pollas Octavos de Final'!D7,'Pollas Octavos de Final'!$D$2,'Pollas Octavos de Final'!E7,'Pollas Octavos de Final'!$E$2)</f>
        <v>Paises Bajos</v>
      </c>
      <c r="C7" s="4">
        <f>PUNTAJE_GANADORES('Pollas Octavos de Final'!D7,'Resultados Oficiales Octavos de'!$C$2,'Pollas Octavos de Final'!E7,'Resultados Oficiales Octavos de'!$D$2,B7,'Resultados Oficiales Octavos de'!$F$2)</f>
        <v>3</v>
      </c>
      <c r="D7" s="4" t="str">
        <f>GANADOR_MARCADOR_POLLA('Pollas Octavos de Final'!H7,'Pollas Octavos de Final'!$H$2,'Pollas Octavos de Final'!I7,'Pollas Octavos de Final'!$I$2)</f>
        <v>Argentina</v>
      </c>
      <c r="E7" s="4">
        <f>PUNTAJE_GANADORES('Pollas Octavos de Final'!H7,'Resultados Oficiales Octavos de'!$C$3,'Pollas Octavos de Final'!I7,'Resultados Oficiales Octavos de'!$D$3,D7,'Resultados Oficiales Octavos de'!$F$3)</f>
        <v>3</v>
      </c>
      <c r="F7" s="4" t="str">
        <f>GANADOR_MARCADOR_POLLA('Pollas Octavos de Final'!J7,'Pollas Octavos de Final'!$J$2,'Pollas Octavos de Final'!K7,'Pollas Octavos de Final'!$K$2)</f>
        <v>EMPATE</v>
      </c>
      <c r="G7" s="4">
        <f>PUNTAJE_GANADORES('Pollas Octavos de Final'!J7,'Resultados Oficiales Octavos de'!$C$4,'Pollas Octavos de Final'!K7,'Resultados Oficiales Octavos de'!$D$4,F7,'Resultados Oficiales Octavos de'!$F$4)</f>
        <v>1</v>
      </c>
      <c r="H7" s="4" t="str">
        <f>GANADOR_MARCADOR_POLLA('Pollas Octavos de Final'!F7,'Pollas Octavos de Final'!$F$2,'Pollas Octavos de Final'!G7,'Pollas Octavos de Final'!$G$2)</f>
        <v>EMPATE</v>
      </c>
      <c r="I7" s="4">
        <f>PUNTAJE_GANADORES('Pollas Octavos de Final'!F7,'Resultados Oficiales Octavos de'!$C$5,'Pollas Octavos de Final'!G7,'Resultados Oficiales Octavos de'!$D$5,H7,'Resultados Oficiales Octavos de'!$F$5)</f>
        <v>0</v>
      </c>
      <c r="J7" s="4" t="str">
        <f>GANADOR_MARCADOR_POLLA('Pollas Octavos de Final'!L7,'Pollas Octavos de Final'!$L$2,'Pollas Octavos de Final'!M7,'Pollas Octavos de Final'!$M$2)</f>
        <v>Japón</v>
      </c>
      <c r="K7" s="4">
        <f>PUNTAJE_GANADORES('Pollas Octavos de Final'!L7,'Resultados Oficiales Octavos de'!$C$6,'Pollas Octavos de Final'!M7,'Resultados Oficiales Octavos de'!$D$6,J7,'Resultados Oficiales Octavos de'!$F$6)</f>
        <v>1</v>
      </c>
      <c r="L7" s="4" t="str">
        <f>GANADOR_MARCADOR_POLLA('Pollas Octavos de Final'!P7,'Pollas Octavos de Final'!$P$2,'Pollas Octavos de Final'!Q7,'Pollas Octavos de Final'!$Q$2)</f>
        <v>Brasil</v>
      </c>
      <c r="M7" s="4">
        <f>PUNTAJE_GANADORES('Pollas Octavos de Final'!P7,'Resultados Oficiales Octavos de'!$C$7,'Pollas Octavos de Final'!Q7,'Resultados Oficiales Octavos de'!$D$7,L7,'Resultados Oficiales Octavos de'!$F$7)</f>
        <v>2</v>
      </c>
      <c r="N7" s="4" t="str">
        <f>GANADOR_MARCADOR_POLLA('Pollas Octavos de Final'!N7,'Pollas Octavos de Final'!$N$2,'Pollas Octavos de Final'!O7,'Pollas Octavos de Final'!$O$2)</f>
        <v>España</v>
      </c>
      <c r="O7" s="4">
        <f>PUNTAJE_GANADORES('Pollas Octavos de Final'!N7,'Resultados Oficiales Octavos de'!$C$8,'Pollas Octavos de Final'!O7,'Resultados Oficiales Octavos de'!$D$8,N7,'Resultados Oficiales Octavos de'!$F$8)</f>
        <v>1</v>
      </c>
      <c r="P7" s="4" t="str">
        <f>GANADOR_MARCADOR_POLLA('Pollas Octavos de Final'!R7,'Pollas Octavos de Final'!$R$2,'Pollas Octavos de Final'!S7,'Pollas Octavos de Final'!$S$2)</f>
        <v>Portugal</v>
      </c>
      <c r="Q7" s="4">
        <f>PUNTAJE_GANADORES('Pollas Octavos de Final'!R7,'Resultados Oficiales Octavos de'!$C$9,'Pollas Octavos de Final'!S7,'Resultados Oficiales Octavos de'!$D$9,P7,'Resultados Oficiales Octavos de'!$F$9)</f>
        <v>3</v>
      </c>
      <c r="R7" s="4">
        <f t="shared" si="1"/>
        <v>14</v>
      </c>
    </row>
    <row r="8">
      <c r="A8" s="3" t="str">
        <f>'Pollas Octavos de Final'!C8</f>
        <v>Las tejedoras</v>
      </c>
      <c r="B8" s="4" t="str">
        <f>GANADOR_MARCADOR_POLLA('Pollas Octavos de Final'!D8,'Pollas Octavos de Final'!$D$2,'Pollas Octavos de Final'!E8,'Pollas Octavos de Final'!$E$2)</f>
        <v>Estados Unidos</v>
      </c>
      <c r="C8" s="4">
        <f>PUNTAJE_GANADORES('Pollas Octavos de Final'!D8,'Resultados Oficiales Octavos de'!$C$2,'Pollas Octavos de Final'!E8,'Resultados Oficiales Octavos de'!$D$2,B8,'Resultados Oficiales Octavos de'!$F$2)</f>
        <v>0</v>
      </c>
      <c r="D8" s="4" t="str">
        <f>GANADOR_MARCADOR_POLLA('Pollas Octavos de Final'!H8,'Pollas Octavos de Final'!$H$2,'Pollas Octavos de Final'!I8,'Pollas Octavos de Final'!$I$2)</f>
        <v>Argentina</v>
      </c>
      <c r="E8" s="4">
        <f>PUNTAJE_GANADORES('Pollas Octavos de Final'!H8,'Resultados Oficiales Octavos de'!$C$3,'Pollas Octavos de Final'!I8,'Resultados Oficiales Octavos de'!$D$3,D8,'Resultados Oficiales Octavos de'!$F$3)</f>
        <v>3</v>
      </c>
      <c r="F8" s="4" t="str">
        <f>GANADOR_MARCADOR_POLLA('Pollas Octavos de Final'!J8,'Pollas Octavos de Final'!$J$2,'Pollas Octavos de Final'!K8,'Pollas Octavos de Final'!$K$2)</f>
        <v>Francia</v>
      </c>
      <c r="G8" s="4">
        <f>PUNTAJE_GANADORES('Pollas Octavos de Final'!J8,'Resultados Oficiales Octavos de'!$C$4,'Pollas Octavos de Final'!K8,'Resultados Oficiales Octavos de'!$D$4,F8,'Resultados Oficiales Octavos de'!$F$4)</f>
        <v>2</v>
      </c>
      <c r="H8" s="4" t="str">
        <f>GANADOR_MARCADOR_POLLA('Pollas Octavos de Final'!F8,'Pollas Octavos de Final'!$F$2,'Pollas Octavos de Final'!G8,'Pollas Octavos de Final'!$G$2)</f>
        <v>EMPATE</v>
      </c>
      <c r="I8" s="4">
        <f>PUNTAJE_GANADORES('Pollas Octavos de Final'!F8,'Resultados Oficiales Octavos de'!$C$5,'Pollas Octavos de Final'!G8,'Resultados Oficiales Octavos de'!$D$5,H8,'Resultados Oficiales Octavos de'!$F$5)</f>
        <v>1</v>
      </c>
      <c r="J8" s="4" t="str">
        <f>GANADOR_MARCADOR_POLLA('Pollas Octavos de Final'!L8,'Pollas Octavos de Final'!$L$2,'Pollas Octavos de Final'!M8,'Pollas Octavos de Final'!$M$2)</f>
        <v>EMPATE</v>
      </c>
      <c r="K8" s="4">
        <f>PUNTAJE_GANADORES('Pollas Octavos de Final'!L8,'Resultados Oficiales Octavos de'!$C$6,'Pollas Octavos de Final'!M8,'Resultados Oficiales Octavos de'!$D$6,J8,'Resultados Oficiales Octavos de'!$F$6)</f>
        <v>5</v>
      </c>
      <c r="L8" s="4" t="str">
        <f>GANADOR_MARCADOR_POLLA('Pollas Octavos de Final'!P8,'Pollas Octavos de Final'!$P$2,'Pollas Octavos de Final'!Q8,'Pollas Octavos de Final'!$Q$2)</f>
        <v>Brasil</v>
      </c>
      <c r="M8" s="4">
        <f>PUNTAJE_GANADORES('Pollas Octavos de Final'!P8,'Resultados Oficiales Octavos de'!$C$7,'Pollas Octavos de Final'!Q8,'Resultados Oficiales Octavos de'!$D$7,L8,'Resultados Oficiales Octavos de'!$F$7)</f>
        <v>2</v>
      </c>
      <c r="N8" s="4" t="str">
        <f>GANADOR_MARCADOR_POLLA('Pollas Octavos de Final'!N8,'Pollas Octavos de Final'!$N$2,'Pollas Octavos de Final'!O8,'Pollas Octavos de Final'!$O$2)</f>
        <v>EMPATE</v>
      </c>
      <c r="O8" s="4">
        <f>PUNTAJE_GANADORES('Pollas Octavos de Final'!N8,'Resultados Oficiales Octavos de'!$C$8,'Pollas Octavos de Final'!O8,'Resultados Oficiales Octavos de'!$D$8,N8,'Resultados Oficiales Octavos de'!$F$8)</f>
        <v>1</v>
      </c>
      <c r="P8" s="4" t="str">
        <f>GANADOR_MARCADOR_POLLA('Pollas Octavos de Final'!R8,'Pollas Octavos de Final'!$R$2,'Pollas Octavos de Final'!S8,'Pollas Octavos de Final'!$S$2)</f>
        <v>Suiza</v>
      </c>
      <c r="Q8" s="4">
        <f>PUNTAJE_GANADORES('Pollas Octavos de Final'!R8,'Resultados Oficiales Octavos de'!$C$9,'Pollas Octavos de Final'!S8,'Resultados Oficiales Octavos de'!$D$9,P8,'Resultados Oficiales Octavos de'!$F$9)</f>
        <v>0</v>
      </c>
      <c r="R8" s="4">
        <f t="shared" si="1"/>
        <v>14</v>
      </c>
    </row>
    <row r="9">
      <c r="A9" s="3" t="str">
        <f>'Pollas Octavos de Final'!C9</f>
        <v>Emerson Alexis Gomez</v>
      </c>
      <c r="B9" s="4" t="str">
        <f>GANADOR_MARCADOR_POLLA('Pollas Octavos de Final'!D9,'Pollas Octavos de Final'!$D$2,'Pollas Octavos de Final'!E9,'Pollas Octavos de Final'!$E$2)</f>
        <v>Paises Bajos</v>
      </c>
      <c r="C9" s="4">
        <f>PUNTAJE_GANADORES('Pollas Octavos de Final'!D9,'Resultados Oficiales Octavos de'!$C$2,'Pollas Octavos de Final'!E9,'Resultados Oficiales Octavos de'!$D$2,B9,'Resultados Oficiales Octavos de'!$F$2)</f>
        <v>3</v>
      </c>
      <c r="D9" s="4" t="str">
        <f>GANADOR_MARCADOR_POLLA('Pollas Octavos de Final'!H9,'Pollas Octavos de Final'!$H$2,'Pollas Octavos de Final'!I9,'Pollas Octavos de Final'!$I$2)</f>
        <v>Argentina</v>
      </c>
      <c r="E9" s="4">
        <f>PUNTAJE_GANADORES('Pollas Octavos de Final'!H9,'Resultados Oficiales Octavos de'!$C$3,'Pollas Octavos de Final'!I9,'Resultados Oficiales Octavos de'!$D$3,D9,'Resultados Oficiales Octavos de'!$F$3)</f>
        <v>3</v>
      </c>
      <c r="F9" s="4" t="str">
        <f>GANADOR_MARCADOR_POLLA('Pollas Octavos de Final'!J9,'Pollas Octavos de Final'!$J$2,'Pollas Octavos de Final'!K9,'Pollas Octavos de Final'!$K$2)</f>
        <v>Francia</v>
      </c>
      <c r="G9" s="4">
        <f>PUNTAJE_GANADORES('Pollas Octavos de Final'!J9,'Resultados Oficiales Octavos de'!$C$4,'Pollas Octavos de Final'!K9,'Resultados Oficiales Octavos de'!$D$4,F9,'Resultados Oficiales Octavos de'!$F$4)</f>
        <v>3</v>
      </c>
      <c r="H9" s="4" t="str">
        <f>GANADOR_MARCADOR_POLLA('Pollas Octavos de Final'!F9,'Pollas Octavos de Final'!$F$2,'Pollas Octavos de Final'!G9,'Pollas Octavos de Final'!$G$2)</f>
        <v>Inglaterra</v>
      </c>
      <c r="I9" s="4">
        <f>PUNTAJE_GANADORES('Pollas Octavos de Final'!F9,'Resultados Oficiales Octavos de'!$C$5,'Pollas Octavos de Final'!G9,'Resultados Oficiales Octavos de'!$D$5,H9,'Resultados Oficiales Octavos de'!$F$5)</f>
        <v>2</v>
      </c>
      <c r="J9" s="4" t="str">
        <f>GANADOR_MARCADOR_POLLA('Pollas Octavos de Final'!L9,'Pollas Octavos de Final'!$L$2,'Pollas Octavos de Final'!M9,'Pollas Octavos de Final'!$M$2)</f>
        <v>Japón</v>
      </c>
      <c r="K9" s="4">
        <f>PUNTAJE_GANADORES('Pollas Octavos de Final'!L9,'Resultados Oficiales Octavos de'!$C$6,'Pollas Octavos de Final'!M9,'Resultados Oficiales Octavos de'!$D$6,J9,'Resultados Oficiales Octavos de'!$F$6)</f>
        <v>0</v>
      </c>
      <c r="L9" s="4" t="str">
        <f>GANADOR_MARCADOR_POLLA('Pollas Octavos de Final'!P9,'Pollas Octavos de Final'!$P$2,'Pollas Octavos de Final'!Q9,'Pollas Octavos de Final'!$Q$2)</f>
        <v>Brasil</v>
      </c>
      <c r="M9" s="4">
        <f>PUNTAJE_GANADORES('Pollas Octavos de Final'!P9,'Resultados Oficiales Octavos de'!$C$7,'Pollas Octavos de Final'!Q9,'Resultados Oficiales Octavos de'!$D$7,L9,'Resultados Oficiales Octavos de'!$F$7)</f>
        <v>2</v>
      </c>
      <c r="N9" s="4" t="str">
        <f>GANADOR_MARCADOR_POLLA('Pollas Octavos de Final'!N9,'Pollas Octavos de Final'!$N$2,'Pollas Octavos de Final'!O9,'Pollas Octavos de Final'!$O$2)</f>
        <v>Marruecos</v>
      </c>
      <c r="O9" s="4">
        <f>PUNTAJE_GANADORES('Pollas Octavos de Final'!N9,'Resultados Oficiales Octavos de'!$C$8,'Pollas Octavos de Final'!O9,'Resultados Oficiales Octavos de'!$D$8,N9,'Resultados Oficiales Octavos de'!$F$8)</f>
        <v>1</v>
      </c>
      <c r="P9" s="4" t="str">
        <f>GANADOR_MARCADOR_POLLA('Pollas Octavos de Final'!R9,'Pollas Octavos de Final'!$R$2,'Pollas Octavos de Final'!S9,'Pollas Octavos de Final'!$S$2)</f>
        <v>Portugal</v>
      </c>
      <c r="Q9" s="4">
        <f>PUNTAJE_GANADORES('Pollas Octavos de Final'!R9,'Resultados Oficiales Octavos de'!$C$9,'Pollas Octavos de Final'!S9,'Resultados Oficiales Octavos de'!$D$9,P9,'Resultados Oficiales Octavos de'!$F$9)</f>
        <v>3</v>
      </c>
      <c r="R9" s="4">
        <f t="shared" si="1"/>
        <v>17</v>
      </c>
    </row>
    <row r="10">
      <c r="A10" s="3" t="str">
        <f>'Pollas Octavos de Final'!C10</f>
        <v>Club Atletico Vodka Juniors</v>
      </c>
      <c r="B10" s="4" t="str">
        <f>GANADOR_MARCADOR_POLLA('Pollas Octavos de Final'!D10,'Pollas Octavos de Final'!$D$2,'Pollas Octavos de Final'!E10,'Pollas Octavos de Final'!$E$2)</f>
        <v>Estados Unidos</v>
      </c>
      <c r="C10" s="4">
        <f>PUNTAJE_GANADORES('Pollas Octavos de Final'!D10,'Resultados Oficiales Octavos de'!$C$2,'Pollas Octavos de Final'!E10,'Resultados Oficiales Octavos de'!$D$2,B10,'Resultados Oficiales Octavos de'!$F$2)</f>
        <v>1</v>
      </c>
      <c r="D10" s="4" t="str">
        <f>GANADOR_MARCADOR_POLLA('Pollas Octavos de Final'!H10,'Pollas Octavos de Final'!$H$2,'Pollas Octavos de Final'!I10,'Pollas Octavos de Final'!$I$2)</f>
        <v>Argentina</v>
      </c>
      <c r="E10" s="4">
        <f>PUNTAJE_GANADORES('Pollas Octavos de Final'!H10,'Resultados Oficiales Octavos de'!$C$3,'Pollas Octavos de Final'!I10,'Resultados Oficiales Octavos de'!$D$3,D10,'Resultados Oficiales Octavos de'!$F$3)</f>
        <v>3</v>
      </c>
      <c r="F10" s="4" t="str">
        <f>GANADOR_MARCADOR_POLLA('Pollas Octavos de Final'!J10,'Pollas Octavos de Final'!$J$2,'Pollas Octavos de Final'!K10,'Pollas Octavos de Final'!$K$2)</f>
        <v>Francia</v>
      </c>
      <c r="G10" s="4">
        <f>PUNTAJE_GANADORES('Pollas Octavos de Final'!J10,'Resultados Oficiales Octavos de'!$C$4,'Pollas Octavos de Final'!K10,'Resultados Oficiales Octavos de'!$D$4,F10,'Resultados Oficiales Octavos de'!$F$4)</f>
        <v>2</v>
      </c>
      <c r="H10" s="4" t="str">
        <f>GANADOR_MARCADOR_POLLA('Pollas Octavos de Final'!F10,'Pollas Octavos de Final'!$F$2,'Pollas Octavos de Final'!G10,'Pollas Octavos de Final'!$G$2)</f>
        <v>Inglaterra</v>
      </c>
      <c r="I10" s="4">
        <f>PUNTAJE_GANADORES('Pollas Octavos de Final'!F10,'Resultados Oficiales Octavos de'!$C$5,'Pollas Octavos de Final'!G10,'Resultados Oficiales Octavos de'!$D$5,H10,'Resultados Oficiales Octavos de'!$F$5)</f>
        <v>3</v>
      </c>
      <c r="J10" s="4" t="str">
        <f>GANADOR_MARCADOR_POLLA('Pollas Octavos de Final'!L10,'Pollas Octavos de Final'!$L$2,'Pollas Octavos de Final'!M10,'Pollas Octavos de Final'!$M$2)</f>
        <v>Japón</v>
      </c>
      <c r="K10" s="4">
        <f>PUNTAJE_GANADORES('Pollas Octavos de Final'!L10,'Resultados Oficiales Octavos de'!$C$6,'Pollas Octavos de Final'!M10,'Resultados Oficiales Octavos de'!$D$6,J10,'Resultados Oficiales Octavos de'!$F$6)</f>
        <v>1</v>
      </c>
      <c r="L10" s="4" t="str">
        <f>GANADOR_MARCADOR_POLLA('Pollas Octavos de Final'!P10,'Pollas Octavos de Final'!$P$2,'Pollas Octavos de Final'!Q10,'Pollas Octavos de Final'!$Q$2)</f>
        <v>Brasil</v>
      </c>
      <c r="M10" s="4">
        <f>PUNTAJE_GANADORES('Pollas Octavos de Final'!P10,'Resultados Oficiales Octavos de'!$C$7,'Pollas Octavos de Final'!Q10,'Resultados Oficiales Octavos de'!$D$7,L10,'Resultados Oficiales Octavos de'!$F$7)</f>
        <v>2</v>
      </c>
      <c r="N10" s="4" t="str">
        <f>GANADOR_MARCADOR_POLLA('Pollas Octavos de Final'!N10,'Pollas Octavos de Final'!$N$2,'Pollas Octavos de Final'!O10,'Pollas Octavos de Final'!$O$2)</f>
        <v>España</v>
      </c>
      <c r="O10" s="4">
        <f>PUNTAJE_GANADORES('Pollas Octavos de Final'!N10,'Resultados Oficiales Octavos de'!$C$8,'Pollas Octavos de Final'!O10,'Resultados Oficiales Octavos de'!$D$8,N10,'Resultados Oficiales Octavos de'!$F$8)</f>
        <v>0</v>
      </c>
      <c r="P10" s="4" t="str">
        <f>GANADOR_MARCADOR_POLLA('Pollas Octavos de Final'!R10,'Pollas Octavos de Final'!$R$2,'Pollas Octavos de Final'!S10,'Pollas Octavos de Final'!$S$2)</f>
        <v>Portugal</v>
      </c>
      <c r="Q10" s="4">
        <f>PUNTAJE_GANADORES('Pollas Octavos de Final'!R10,'Resultados Oficiales Octavos de'!$C$9,'Pollas Octavos de Final'!S10,'Resultados Oficiales Octavos de'!$D$9,P10,'Resultados Oficiales Octavos de'!$F$9)</f>
        <v>2</v>
      </c>
      <c r="R10" s="4">
        <f t="shared" si="1"/>
        <v>14</v>
      </c>
    </row>
    <row r="11">
      <c r="A11" s="3" t="str">
        <f>'Pollas Octavos de Final'!C11</f>
        <v>Juan Esteban Montoya Hincapie</v>
      </c>
      <c r="B11" s="4" t="str">
        <f>GANADOR_MARCADOR_POLLA('Pollas Octavos de Final'!D11,'Pollas Octavos de Final'!$D$2,'Pollas Octavos de Final'!E11,'Pollas Octavos de Final'!$E$2)</f>
        <v>Paises Bajos</v>
      </c>
      <c r="C11" s="4">
        <f>PUNTAJE_GANADORES('Pollas Octavos de Final'!D11,'Resultados Oficiales Octavos de'!$C$2,'Pollas Octavos de Final'!E11,'Resultados Oficiales Octavos de'!$D$2,B11,'Resultados Oficiales Octavos de'!$F$2)</f>
        <v>3</v>
      </c>
      <c r="D11" s="4" t="str">
        <f>GANADOR_MARCADOR_POLLA('Pollas Octavos de Final'!H11,'Pollas Octavos de Final'!$H$2,'Pollas Octavos de Final'!I11,'Pollas Octavos de Final'!$I$2)</f>
        <v>Argentina</v>
      </c>
      <c r="E11" s="4">
        <f>PUNTAJE_GANADORES('Pollas Octavos de Final'!H11,'Resultados Oficiales Octavos de'!$C$3,'Pollas Octavos de Final'!I11,'Resultados Oficiales Octavos de'!$D$3,D11,'Resultados Oficiales Octavos de'!$F$3)</f>
        <v>3</v>
      </c>
      <c r="F11" s="4" t="str">
        <f>GANADOR_MARCADOR_POLLA('Pollas Octavos de Final'!J11,'Pollas Octavos de Final'!$J$2,'Pollas Octavos de Final'!K11,'Pollas Octavos de Final'!$K$2)</f>
        <v>Francia</v>
      </c>
      <c r="G11" s="4">
        <f>PUNTAJE_GANADORES('Pollas Octavos de Final'!J11,'Resultados Oficiales Octavos de'!$C$4,'Pollas Octavos de Final'!K11,'Resultados Oficiales Octavos de'!$D$4,F11,'Resultados Oficiales Octavos de'!$F$4)</f>
        <v>2</v>
      </c>
      <c r="H11" s="4" t="str">
        <f>GANADOR_MARCADOR_POLLA('Pollas Octavos de Final'!F11,'Pollas Octavos de Final'!$F$2,'Pollas Octavos de Final'!G11,'Pollas Octavos de Final'!$G$2)</f>
        <v>Inglaterra</v>
      </c>
      <c r="I11" s="4">
        <f>PUNTAJE_GANADORES('Pollas Octavos de Final'!F11,'Resultados Oficiales Octavos de'!$C$5,'Pollas Octavos de Final'!G11,'Resultados Oficiales Octavos de'!$D$5,H11,'Resultados Oficiales Octavos de'!$F$5)</f>
        <v>2</v>
      </c>
      <c r="J11" s="4" t="str">
        <f>GANADOR_MARCADOR_POLLA('Pollas Octavos de Final'!L11,'Pollas Octavos de Final'!$L$2,'Pollas Octavos de Final'!M11,'Pollas Octavos de Final'!$M$2)</f>
        <v>Japón</v>
      </c>
      <c r="K11" s="4">
        <f>PUNTAJE_GANADORES('Pollas Octavos de Final'!L11,'Resultados Oficiales Octavos de'!$C$6,'Pollas Octavos de Final'!M11,'Resultados Oficiales Octavos de'!$D$6,J11,'Resultados Oficiales Octavos de'!$F$6)</f>
        <v>1</v>
      </c>
      <c r="L11" s="4" t="str">
        <f>GANADOR_MARCADOR_POLLA('Pollas Octavos de Final'!P11,'Pollas Octavos de Final'!$P$2,'Pollas Octavos de Final'!Q11,'Pollas Octavos de Final'!$Q$2)</f>
        <v>Brasil</v>
      </c>
      <c r="M11" s="4">
        <f>PUNTAJE_GANADORES('Pollas Octavos de Final'!P11,'Resultados Oficiales Octavos de'!$C$7,'Pollas Octavos de Final'!Q11,'Resultados Oficiales Octavos de'!$D$7,L11,'Resultados Oficiales Octavos de'!$F$7)</f>
        <v>2</v>
      </c>
      <c r="N11" s="4" t="str">
        <f>GANADOR_MARCADOR_POLLA('Pollas Octavos de Final'!N11,'Pollas Octavos de Final'!$N$2,'Pollas Octavos de Final'!O11,'Pollas Octavos de Final'!$O$2)</f>
        <v>España</v>
      </c>
      <c r="O11" s="4">
        <f>PUNTAJE_GANADORES('Pollas Octavos de Final'!N11,'Resultados Oficiales Octavos de'!$C$8,'Pollas Octavos de Final'!O11,'Resultados Oficiales Octavos de'!$D$8,N11,'Resultados Oficiales Octavos de'!$F$8)</f>
        <v>0</v>
      </c>
      <c r="P11" s="4" t="str">
        <f>GANADOR_MARCADOR_POLLA('Pollas Octavos de Final'!R11,'Pollas Octavos de Final'!$R$2,'Pollas Octavos de Final'!S11,'Pollas Octavos de Final'!$S$2)</f>
        <v>Suiza</v>
      </c>
      <c r="Q11" s="4">
        <f>PUNTAJE_GANADORES('Pollas Octavos de Final'!R11,'Resultados Oficiales Octavos de'!$C$9,'Pollas Octavos de Final'!S11,'Resultados Oficiales Octavos de'!$D$9,P11,'Resultados Oficiales Octavos de'!$F$9)</f>
        <v>0</v>
      </c>
      <c r="R11" s="4">
        <f t="shared" si="1"/>
        <v>13</v>
      </c>
    </row>
    <row r="12">
      <c r="A12" s="3" t="str">
        <f>'Pollas Octavos de Final'!C12</f>
        <v>Lolita</v>
      </c>
      <c r="B12" s="4" t="str">
        <f>GANADOR_MARCADOR_POLLA('Pollas Octavos de Final'!D12,'Pollas Octavos de Final'!$D$2,'Pollas Octavos de Final'!E12,'Pollas Octavos de Final'!$E$2)</f>
        <v>Paises Bajos</v>
      </c>
      <c r="C12" s="4">
        <f>PUNTAJE_GANADORES('Pollas Octavos de Final'!D12,'Resultados Oficiales Octavos de'!$C$2,'Pollas Octavos de Final'!E12,'Resultados Oficiales Octavos de'!$D$2,B12,'Resultados Oficiales Octavos de'!$F$2)</f>
        <v>3</v>
      </c>
      <c r="D12" s="4" t="str">
        <f>GANADOR_MARCADOR_POLLA('Pollas Octavos de Final'!H12,'Pollas Octavos de Final'!$H$2,'Pollas Octavos de Final'!I12,'Pollas Octavos de Final'!$I$2)</f>
        <v>Argentina</v>
      </c>
      <c r="E12" s="4">
        <f>PUNTAJE_GANADORES('Pollas Octavos de Final'!H12,'Resultados Oficiales Octavos de'!$C$3,'Pollas Octavos de Final'!I12,'Resultados Oficiales Octavos de'!$D$3,D12,'Resultados Oficiales Octavos de'!$F$3)</f>
        <v>3</v>
      </c>
      <c r="F12" s="4" t="str">
        <f>GANADOR_MARCADOR_POLLA('Pollas Octavos de Final'!J12,'Pollas Octavos de Final'!$J$2,'Pollas Octavos de Final'!K12,'Pollas Octavos de Final'!$K$2)</f>
        <v>Francia</v>
      </c>
      <c r="G12" s="4">
        <f>PUNTAJE_GANADORES('Pollas Octavos de Final'!J12,'Resultados Oficiales Octavos de'!$C$4,'Pollas Octavos de Final'!K12,'Resultados Oficiales Octavos de'!$D$4,F12,'Resultados Oficiales Octavos de'!$F$4)</f>
        <v>2</v>
      </c>
      <c r="H12" s="4" t="str">
        <f>GANADOR_MARCADOR_POLLA('Pollas Octavos de Final'!F12,'Pollas Octavos de Final'!$F$2,'Pollas Octavos de Final'!G12,'Pollas Octavos de Final'!$G$2)</f>
        <v>Inglaterra</v>
      </c>
      <c r="I12" s="4">
        <f>PUNTAJE_GANADORES('Pollas Octavos de Final'!F12,'Resultados Oficiales Octavos de'!$C$5,'Pollas Octavos de Final'!G12,'Resultados Oficiales Octavos de'!$D$5,H12,'Resultados Oficiales Octavos de'!$F$5)</f>
        <v>3</v>
      </c>
      <c r="J12" s="4" t="str">
        <f>GANADOR_MARCADOR_POLLA('Pollas Octavos de Final'!L12,'Pollas Octavos de Final'!$L$2,'Pollas Octavos de Final'!M12,'Pollas Octavos de Final'!$M$2)</f>
        <v>EMPATE</v>
      </c>
      <c r="K12" s="4">
        <f>PUNTAJE_GANADORES('Pollas Octavos de Final'!L12,'Resultados Oficiales Octavos de'!$C$6,'Pollas Octavos de Final'!M12,'Resultados Oficiales Octavos de'!$D$6,J12,'Resultados Oficiales Octavos de'!$F$6)</f>
        <v>5</v>
      </c>
      <c r="L12" s="4" t="str">
        <f>GANADOR_MARCADOR_POLLA('Pollas Octavos de Final'!P12,'Pollas Octavos de Final'!$P$2,'Pollas Octavos de Final'!Q12,'Pollas Octavos de Final'!$Q$2)</f>
        <v>Brasil</v>
      </c>
      <c r="M12" s="4">
        <f>PUNTAJE_GANADORES('Pollas Octavos de Final'!P12,'Resultados Oficiales Octavos de'!$C$7,'Pollas Octavos de Final'!Q12,'Resultados Oficiales Octavos de'!$D$7,L12,'Resultados Oficiales Octavos de'!$F$7)</f>
        <v>2</v>
      </c>
      <c r="N12" s="4" t="str">
        <f>GANADOR_MARCADOR_POLLA('Pollas Octavos de Final'!N12,'Pollas Octavos de Final'!$N$2,'Pollas Octavos de Final'!O12,'Pollas Octavos de Final'!$O$2)</f>
        <v>España</v>
      </c>
      <c r="O12" s="4">
        <f>PUNTAJE_GANADORES('Pollas Octavos de Final'!N12,'Resultados Oficiales Octavos de'!$C$8,'Pollas Octavos de Final'!O12,'Resultados Oficiales Octavos de'!$D$8,N12,'Resultados Oficiales Octavos de'!$F$8)</f>
        <v>0</v>
      </c>
      <c r="P12" s="4" t="str">
        <f>GANADOR_MARCADOR_POLLA('Pollas Octavos de Final'!R12,'Pollas Octavos de Final'!$R$2,'Pollas Octavos de Final'!S12,'Pollas Octavos de Final'!$S$2)</f>
        <v>Portugal</v>
      </c>
      <c r="Q12" s="4">
        <f>PUNTAJE_GANADORES('Pollas Octavos de Final'!R12,'Resultados Oficiales Octavos de'!$C$9,'Pollas Octavos de Final'!S12,'Resultados Oficiales Octavos de'!$D$9,P12,'Resultados Oficiales Octavos de'!$F$9)</f>
        <v>2</v>
      </c>
      <c r="R12" s="4">
        <f t="shared" si="1"/>
        <v>20</v>
      </c>
    </row>
    <row r="13">
      <c r="A13" s="3" t="str">
        <f>'Pollas Octavos de Final'!C13</f>
        <v>Mauricio Perez (Mauro chef)</v>
      </c>
      <c r="B13" s="4" t="str">
        <f>GANADOR_MARCADOR_POLLA('Pollas Octavos de Final'!D13,'Pollas Octavos de Final'!$D$2,'Pollas Octavos de Final'!E13,'Pollas Octavos de Final'!$E$2)</f>
        <v>Paises Bajos</v>
      </c>
      <c r="C13" s="4">
        <f>PUNTAJE_GANADORES('Pollas Octavos de Final'!D13,'Resultados Oficiales Octavos de'!$C$2,'Pollas Octavos de Final'!E13,'Resultados Oficiales Octavos de'!$D$2,B13,'Resultados Oficiales Octavos de'!$F$2)</f>
        <v>2</v>
      </c>
      <c r="D13" s="4" t="str">
        <f>GANADOR_MARCADOR_POLLA('Pollas Octavos de Final'!H13,'Pollas Octavos de Final'!$H$2,'Pollas Octavos de Final'!I13,'Pollas Octavos de Final'!$I$2)</f>
        <v>Argentina</v>
      </c>
      <c r="E13" s="4">
        <f>PUNTAJE_GANADORES('Pollas Octavos de Final'!H13,'Resultados Oficiales Octavos de'!$C$3,'Pollas Octavos de Final'!I13,'Resultados Oficiales Octavos de'!$D$3,D13,'Resultados Oficiales Octavos de'!$F$3)</f>
        <v>5</v>
      </c>
      <c r="F13" s="4" t="str">
        <f>GANADOR_MARCADOR_POLLA('Pollas Octavos de Final'!J13,'Pollas Octavos de Final'!$J$2,'Pollas Octavos de Final'!K13,'Pollas Octavos de Final'!$K$2)</f>
        <v>Francia</v>
      </c>
      <c r="G13" s="4">
        <f>PUNTAJE_GANADORES('Pollas Octavos de Final'!J13,'Resultados Oficiales Octavos de'!$C$4,'Pollas Octavos de Final'!K13,'Resultados Oficiales Octavos de'!$D$4,F13,'Resultados Oficiales Octavos de'!$F$4)</f>
        <v>3</v>
      </c>
      <c r="H13" s="4" t="str">
        <f>GANADOR_MARCADOR_POLLA('Pollas Octavos de Final'!F13,'Pollas Octavos de Final'!$F$2,'Pollas Octavos de Final'!G13,'Pollas Octavos de Final'!$G$2)</f>
        <v>Inglaterra</v>
      </c>
      <c r="I13" s="4">
        <f>PUNTAJE_GANADORES('Pollas Octavos de Final'!F13,'Resultados Oficiales Octavos de'!$C$5,'Pollas Octavos de Final'!G13,'Resultados Oficiales Octavos de'!$D$5,H13,'Resultados Oficiales Octavos de'!$F$5)</f>
        <v>3</v>
      </c>
      <c r="J13" s="4" t="str">
        <f>GANADOR_MARCADOR_POLLA('Pollas Octavos de Final'!L13,'Pollas Octavos de Final'!$L$2,'Pollas Octavos de Final'!M13,'Pollas Octavos de Final'!$M$2)</f>
        <v>Japón</v>
      </c>
      <c r="K13" s="4">
        <f>PUNTAJE_GANADORES('Pollas Octavos de Final'!L13,'Resultados Oficiales Octavos de'!$C$6,'Pollas Octavos de Final'!M13,'Resultados Oficiales Octavos de'!$D$6,J13,'Resultados Oficiales Octavos de'!$F$6)</f>
        <v>1</v>
      </c>
      <c r="L13" s="4" t="str">
        <f>GANADOR_MARCADOR_POLLA('Pollas Octavos de Final'!P13,'Pollas Octavos de Final'!$P$2,'Pollas Octavos de Final'!Q13,'Pollas Octavos de Final'!$Q$2)</f>
        <v>Brasil</v>
      </c>
      <c r="M13" s="4">
        <f>PUNTAJE_GANADORES('Pollas Octavos de Final'!P13,'Resultados Oficiales Octavos de'!$C$7,'Pollas Octavos de Final'!Q13,'Resultados Oficiales Octavos de'!$D$7,L13,'Resultados Oficiales Octavos de'!$F$7)</f>
        <v>2</v>
      </c>
      <c r="N13" s="4" t="str">
        <f>GANADOR_MARCADOR_POLLA('Pollas Octavos de Final'!N13,'Pollas Octavos de Final'!$N$2,'Pollas Octavos de Final'!O13,'Pollas Octavos de Final'!$O$2)</f>
        <v>España</v>
      </c>
      <c r="O13" s="4">
        <f>PUNTAJE_GANADORES('Pollas Octavos de Final'!N13,'Resultados Oficiales Octavos de'!$C$8,'Pollas Octavos de Final'!O13,'Resultados Oficiales Octavos de'!$D$8,N13,'Resultados Oficiales Octavos de'!$F$8)</f>
        <v>1</v>
      </c>
      <c r="P13" s="4" t="str">
        <f>GANADOR_MARCADOR_POLLA('Pollas Octavos de Final'!R13,'Pollas Octavos de Final'!$R$2,'Pollas Octavos de Final'!S13,'Pollas Octavos de Final'!$S$2)</f>
        <v>Portugal</v>
      </c>
      <c r="Q13" s="4">
        <f>PUNTAJE_GANADORES('Pollas Octavos de Final'!R13,'Resultados Oficiales Octavos de'!$C$9,'Pollas Octavos de Final'!S13,'Resultados Oficiales Octavos de'!$D$9,P13,'Resultados Oficiales Octavos de'!$F$9)</f>
        <v>2</v>
      </c>
      <c r="R13" s="4">
        <f t="shared" si="1"/>
        <v>19</v>
      </c>
    </row>
    <row r="14">
      <c r="A14" s="3" t="str">
        <f>'Pollas Octavos de Final'!C14</f>
        <v>Leonardo Valencia Valencia</v>
      </c>
      <c r="B14" s="4" t="str">
        <f>GANADOR_MARCADOR_POLLA('Pollas Octavos de Final'!D14,'Pollas Octavos de Final'!$D$2,'Pollas Octavos de Final'!E14,'Pollas Octavos de Final'!$E$2)</f>
        <v>Paises Bajos</v>
      </c>
      <c r="C14" s="4">
        <f>PUNTAJE_GANADORES('Pollas Octavos de Final'!D14,'Resultados Oficiales Octavos de'!$C$2,'Pollas Octavos de Final'!E14,'Resultados Oficiales Octavos de'!$D$2,B14,'Resultados Oficiales Octavos de'!$F$2)</f>
        <v>2</v>
      </c>
      <c r="D14" s="4" t="str">
        <f>GANADOR_MARCADOR_POLLA('Pollas Octavos de Final'!H14,'Pollas Octavos de Final'!$H$2,'Pollas Octavos de Final'!I14,'Pollas Octavos de Final'!$I$2)</f>
        <v>Argentina</v>
      </c>
      <c r="E14" s="4">
        <f>PUNTAJE_GANADORES('Pollas Octavos de Final'!H14,'Resultados Oficiales Octavos de'!$C$3,'Pollas Octavos de Final'!I14,'Resultados Oficiales Octavos de'!$D$3,D14,'Resultados Oficiales Octavos de'!$F$3)</f>
        <v>3</v>
      </c>
      <c r="F14" s="4" t="str">
        <f>GANADOR_MARCADOR_POLLA('Pollas Octavos de Final'!J14,'Pollas Octavos de Final'!$J$2,'Pollas Octavos de Final'!K14,'Pollas Octavos de Final'!$K$2)</f>
        <v>Francia</v>
      </c>
      <c r="G14" s="4">
        <f>PUNTAJE_GANADORES('Pollas Octavos de Final'!J14,'Resultados Oficiales Octavos de'!$C$4,'Pollas Octavos de Final'!K14,'Resultados Oficiales Octavos de'!$D$4,F14,'Resultados Oficiales Octavos de'!$F$4)</f>
        <v>3</v>
      </c>
      <c r="H14" s="4" t="str">
        <f>GANADOR_MARCADOR_POLLA('Pollas Octavos de Final'!F14,'Pollas Octavos de Final'!$F$2,'Pollas Octavos de Final'!G14,'Pollas Octavos de Final'!$G$2)</f>
        <v>Inglaterra</v>
      </c>
      <c r="I14" s="4">
        <f>PUNTAJE_GANADORES('Pollas Octavos de Final'!F14,'Resultados Oficiales Octavos de'!$C$5,'Pollas Octavos de Final'!G14,'Resultados Oficiales Octavos de'!$D$5,H14,'Resultados Oficiales Octavos de'!$F$5)</f>
        <v>3</v>
      </c>
      <c r="J14" s="4" t="str">
        <f>GANADOR_MARCADOR_POLLA('Pollas Octavos de Final'!L14,'Pollas Octavos de Final'!$L$2,'Pollas Octavos de Final'!M14,'Pollas Octavos de Final'!$M$2)</f>
        <v>Japón</v>
      </c>
      <c r="K14" s="4">
        <f>PUNTAJE_GANADORES('Pollas Octavos de Final'!L14,'Resultados Oficiales Octavos de'!$C$6,'Pollas Octavos de Final'!M14,'Resultados Oficiales Octavos de'!$D$6,J14,'Resultados Oficiales Octavos de'!$F$6)</f>
        <v>1</v>
      </c>
      <c r="L14" s="4" t="str">
        <f>GANADOR_MARCADOR_POLLA('Pollas Octavos de Final'!P14,'Pollas Octavos de Final'!$P$2,'Pollas Octavos de Final'!Q14,'Pollas Octavos de Final'!$Q$2)</f>
        <v>Brasil</v>
      </c>
      <c r="M14" s="4">
        <f>PUNTAJE_GANADORES('Pollas Octavos de Final'!P14,'Resultados Oficiales Octavos de'!$C$7,'Pollas Octavos de Final'!Q14,'Resultados Oficiales Octavos de'!$D$7,L14,'Resultados Oficiales Octavos de'!$F$7)</f>
        <v>3</v>
      </c>
      <c r="N14" s="4" t="str">
        <f>GANADOR_MARCADOR_POLLA('Pollas Octavos de Final'!N14,'Pollas Octavos de Final'!$N$2,'Pollas Octavos de Final'!O14,'Pollas Octavos de Final'!$O$2)</f>
        <v>EMPATE</v>
      </c>
      <c r="O14" s="4">
        <f>PUNTAJE_GANADORES('Pollas Octavos de Final'!N14,'Resultados Oficiales Octavos de'!$C$8,'Pollas Octavos de Final'!O14,'Resultados Oficiales Octavos de'!$D$8,N14,'Resultados Oficiales Octavos de'!$F$8)</f>
        <v>1</v>
      </c>
      <c r="P14" s="4" t="str">
        <f>GANADOR_MARCADOR_POLLA('Pollas Octavos de Final'!R14,'Pollas Octavos de Final'!$R$2,'Pollas Octavos de Final'!S14,'Pollas Octavos de Final'!$S$2)</f>
        <v>Portugal</v>
      </c>
      <c r="Q14" s="4">
        <f>PUNTAJE_GANADORES('Pollas Octavos de Final'!R14,'Resultados Oficiales Octavos de'!$C$9,'Pollas Octavos de Final'!S14,'Resultados Oficiales Octavos de'!$D$9,P14,'Resultados Oficiales Octavos de'!$F$9)</f>
        <v>2</v>
      </c>
      <c r="R14" s="4">
        <f t="shared" si="1"/>
        <v>18</v>
      </c>
    </row>
    <row r="15">
      <c r="A15" s="3" t="str">
        <f>'Pollas Octavos de Final'!C15</f>
        <v>TV y Novelas</v>
      </c>
      <c r="B15" s="4" t="str">
        <f>GANADOR_MARCADOR_POLLA('Pollas Octavos de Final'!D15,'Pollas Octavos de Final'!$D$2,'Pollas Octavos de Final'!E15,'Pollas Octavos de Final'!$E$2)</f>
        <v>Paises Bajos</v>
      </c>
      <c r="C15" s="4">
        <f>PUNTAJE_GANADORES('Pollas Octavos de Final'!D15,'Resultados Oficiales Octavos de'!$C$2,'Pollas Octavos de Final'!E15,'Resultados Oficiales Octavos de'!$D$2,B15,'Resultados Oficiales Octavos de'!$F$2)</f>
        <v>3</v>
      </c>
      <c r="D15" s="4" t="str">
        <f>GANADOR_MARCADOR_POLLA('Pollas Octavos de Final'!H15,'Pollas Octavos de Final'!$H$2,'Pollas Octavos de Final'!I15,'Pollas Octavos de Final'!$I$2)</f>
        <v>Argentina</v>
      </c>
      <c r="E15" s="4">
        <f>PUNTAJE_GANADORES('Pollas Octavos de Final'!H15,'Resultados Oficiales Octavos de'!$C$3,'Pollas Octavos de Final'!I15,'Resultados Oficiales Octavos de'!$D$3,D15,'Resultados Oficiales Octavos de'!$F$3)</f>
        <v>3</v>
      </c>
      <c r="F15" s="4" t="str">
        <f>GANADOR_MARCADOR_POLLA('Pollas Octavos de Final'!J15,'Pollas Octavos de Final'!$J$2,'Pollas Octavos de Final'!K15,'Pollas Octavos de Final'!$K$2)</f>
        <v>Francia</v>
      </c>
      <c r="G15" s="4">
        <f>PUNTAJE_GANADORES('Pollas Octavos de Final'!J15,'Resultados Oficiales Octavos de'!$C$4,'Pollas Octavos de Final'!K15,'Resultados Oficiales Octavos de'!$D$4,F15,'Resultados Oficiales Octavos de'!$F$4)</f>
        <v>3</v>
      </c>
      <c r="H15" s="4" t="str">
        <f>GANADOR_MARCADOR_POLLA('Pollas Octavos de Final'!F15,'Pollas Octavos de Final'!$F$2,'Pollas Octavos de Final'!G15,'Pollas Octavos de Final'!$G$2)</f>
        <v>Inglaterra</v>
      </c>
      <c r="I15" s="4">
        <f>PUNTAJE_GANADORES('Pollas Octavos de Final'!F15,'Resultados Oficiales Octavos de'!$C$5,'Pollas Octavos de Final'!G15,'Resultados Oficiales Octavos de'!$D$5,H15,'Resultados Oficiales Octavos de'!$F$5)</f>
        <v>3</v>
      </c>
      <c r="J15" s="4" t="str">
        <f>GANADOR_MARCADOR_POLLA('Pollas Octavos de Final'!L15,'Pollas Octavos de Final'!$L$2,'Pollas Octavos de Final'!M15,'Pollas Octavos de Final'!$M$2)</f>
        <v>EMPATE</v>
      </c>
      <c r="K15" s="4">
        <f>PUNTAJE_GANADORES('Pollas Octavos de Final'!L15,'Resultados Oficiales Octavos de'!$C$6,'Pollas Octavos de Final'!M15,'Resultados Oficiales Octavos de'!$D$6,J15,'Resultados Oficiales Octavos de'!$F$6)</f>
        <v>5</v>
      </c>
      <c r="L15" s="4" t="str">
        <f>GANADOR_MARCADOR_POLLA('Pollas Octavos de Final'!P15,'Pollas Octavos de Final'!$P$2,'Pollas Octavos de Final'!Q15,'Pollas Octavos de Final'!$Q$2)</f>
        <v>Brasil</v>
      </c>
      <c r="M15" s="4">
        <f>PUNTAJE_GANADORES('Pollas Octavos de Final'!P15,'Resultados Oficiales Octavos de'!$C$7,'Pollas Octavos de Final'!Q15,'Resultados Oficiales Octavos de'!$D$7,L15,'Resultados Oficiales Octavos de'!$F$7)</f>
        <v>3</v>
      </c>
      <c r="N15" s="4" t="str">
        <f>GANADOR_MARCADOR_POLLA('Pollas Octavos de Final'!N15,'Pollas Octavos de Final'!$N$2,'Pollas Octavos de Final'!O15,'Pollas Octavos de Final'!$O$2)</f>
        <v>España</v>
      </c>
      <c r="O15" s="4">
        <f>PUNTAJE_GANADORES('Pollas Octavos de Final'!N15,'Resultados Oficiales Octavos de'!$C$8,'Pollas Octavos de Final'!O15,'Resultados Oficiales Octavos de'!$D$8,N15,'Resultados Oficiales Octavos de'!$F$8)</f>
        <v>1</v>
      </c>
      <c r="P15" s="4" t="str">
        <f>GANADOR_MARCADOR_POLLA('Pollas Octavos de Final'!R15,'Pollas Octavos de Final'!$R$2,'Pollas Octavos de Final'!S15,'Pollas Octavos de Final'!$S$2)</f>
        <v>Portugal</v>
      </c>
      <c r="Q15" s="4">
        <f>PUNTAJE_GANADORES('Pollas Octavos de Final'!R15,'Resultados Oficiales Octavos de'!$C$9,'Pollas Octavos de Final'!S15,'Resultados Oficiales Octavos de'!$D$9,P15,'Resultados Oficiales Octavos de'!$F$9)</f>
        <v>3</v>
      </c>
      <c r="R15" s="4">
        <f t="shared" si="1"/>
        <v>24</v>
      </c>
    </row>
    <row r="16">
      <c r="A16" s="3" t="str">
        <f>'Pollas Octavos de Final'!C16</f>
        <v>Casa VIII</v>
      </c>
      <c r="B16" s="4" t="str">
        <f>GANADOR_MARCADOR_POLLA('Pollas Octavos de Final'!D16,'Pollas Octavos de Final'!$D$2,'Pollas Octavos de Final'!E16,'Pollas Octavos de Final'!$E$2)</f>
        <v>Estados Unidos</v>
      </c>
      <c r="C16" s="4">
        <f>PUNTAJE_GANADORES('Pollas Octavos de Final'!D16,'Resultados Oficiales Octavos de'!$C$2,'Pollas Octavos de Final'!E16,'Resultados Oficiales Octavos de'!$D$2,B16,'Resultados Oficiales Octavos de'!$F$2)</f>
        <v>0</v>
      </c>
      <c r="D16" s="4" t="str">
        <f>GANADOR_MARCADOR_POLLA('Pollas Octavos de Final'!H16,'Pollas Octavos de Final'!$H$2,'Pollas Octavos de Final'!I16,'Pollas Octavos de Final'!$I$2)</f>
        <v>Argentina</v>
      </c>
      <c r="E16" s="4">
        <f>PUNTAJE_GANADORES('Pollas Octavos de Final'!H16,'Resultados Oficiales Octavos de'!$C$3,'Pollas Octavos de Final'!I16,'Resultados Oficiales Octavos de'!$D$3,D16,'Resultados Oficiales Octavos de'!$F$3)</f>
        <v>3</v>
      </c>
      <c r="F16" s="4" t="str">
        <f>GANADOR_MARCADOR_POLLA('Pollas Octavos de Final'!J16,'Pollas Octavos de Final'!$J$2,'Pollas Octavos de Final'!K16,'Pollas Octavos de Final'!$K$2)</f>
        <v>Francia</v>
      </c>
      <c r="G16" s="4">
        <f>PUNTAJE_GANADORES('Pollas Octavos de Final'!J16,'Resultados Oficiales Octavos de'!$C$4,'Pollas Octavos de Final'!K16,'Resultados Oficiales Octavos de'!$D$4,F16,'Resultados Oficiales Octavos de'!$F$4)</f>
        <v>5</v>
      </c>
      <c r="H16" s="4" t="str">
        <f>GANADOR_MARCADOR_POLLA('Pollas Octavos de Final'!F16,'Pollas Octavos de Final'!$F$2,'Pollas Octavos de Final'!G16,'Pollas Octavos de Final'!$G$2)</f>
        <v>Inglaterra</v>
      </c>
      <c r="I16" s="4">
        <f>PUNTAJE_GANADORES('Pollas Octavos de Final'!F16,'Resultados Oficiales Octavos de'!$C$5,'Pollas Octavos de Final'!G16,'Resultados Oficiales Octavos de'!$D$5,H16,'Resultados Oficiales Octavos de'!$F$5)</f>
        <v>2</v>
      </c>
      <c r="J16" s="4" t="str">
        <f>GANADOR_MARCADOR_POLLA('Pollas Octavos de Final'!L16,'Pollas Octavos de Final'!$L$2,'Pollas Octavos de Final'!M16,'Pollas Octavos de Final'!$M$2)</f>
        <v>Croacia</v>
      </c>
      <c r="K16" s="4">
        <f>PUNTAJE_GANADORES('Pollas Octavos de Final'!L16,'Resultados Oficiales Octavos de'!$C$6,'Pollas Octavos de Final'!M16,'Resultados Oficiales Octavos de'!$D$6,J16,'Resultados Oficiales Octavos de'!$F$6)</f>
        <v>1</v>
      </c>
      <c r="L16" s="4" t="str">
        <f>GANADOR_MARCADOR_POLLA('Pollas Octavos de Final'!P16,'Pollas Octavos de Final'!$P$2,'Pollas Octavos de Final'!Q16,'Pollas Octavos de Final'!$Q$2)</f>
        <v>Brasil</v>
      </c>
      <c r="M16" s="4">
        <f>PUNTAJE_GANADORES('Pollas Octavos de Final'!P16,'Resultados Oficiales Octavos de'!$C$7,'Pollas Octavos de Final'!Q16,'Resultados Oficiales Octavos de'!$D$7,L16,'Resultados Oficiales Octavos de'!$F$7)</f>
        <v>3</v>
      </c>
      <c r="N16" s="4" t="str">
        <f>GANADOR_MARCADOR_POLLA('Pollas Octavos de Final'!N16,'Pollas Octavos de Final'!$N$2,'Pollas Octavos de Final'!O16,'Pollas Octavos de Final'!$O$2)</f>
        <v>España</v>
      </c>
      <c r="O16" s="4">
        <f>PUNTAJE_GANADORES('Pollas Octavos de Final'!N16,'Resultados Oficiales Octavos de'!$C$8,'Pollas Octavos de Final'!O16,'Resultados Oficiales Octavos de'!$D$8,N16,'Resultados Oficiales Octavos de'!$F$8)</f>
        <v>1</v>
      </c>
      <c r="P16" s="4" t="str">
        <f>GANADOR_MARCADOR_POLLA('Pollas Octavos de Final'!R16,'Pollas Octavos de Final'!$R$2,'Pollas Octavos de Final'!S16,'Pollas Octavos de Final'!$S$2)</f>
        <v>EMPATE</v>
      </c>
      <c r="Q16" s="4">
        <f>PUNTAJE_GANADORES('Pollas Octavos de Final'!R16,'Resultados Oficiales Octavos de'!$C$9,'Pollas Octavos de Final'!S16,'Resultados Oficiales Octavos de'!$D$9,P16,'Resultados Oficiales Octavos de'!$F$9)</f>
        <v>1</v>
      </c>
      <c r="R16" s="4">
        <f t="shared" si="1"/>
        <v>16</v>
      </c>
    </row>
    <row r="17">
      <c r="A17" s="3" t="str">
        <f>'Pollas Octavos de Final'!C17</f>
        <v>Luis Fermin Naranjo Artehourtua</v>
      </c>
      <c r="B17" s="4" t="str">
        <f>GANADOR_MARCADOR_POLLA('Pollas Octavos de Final'!D17,'Pollas Octavos de Final'!$D$2,'Pollas Octavos de Final'!E17,'Pollas Octavos de Final'!$E$2)</f>
        <v>Paises Bajos</v>
      </c>
      <c r="C17" s="4">
        <f>PUNTAJE_GANADORES('Pollas Octavos de Final'!D17,'Resultados Oficiales Octavos de'!$C$2,'Pollas Octavos de Final'!E17,'Resultados Oficiales Octavos de'!$D$2,B17,'Resultados Oficiales Octavos de'!$F$2)</f>
        <v>3</v>
      </c>
      <c r="D17" s="4" t="str">
        <f>GANADOR_MARCADOR_POLLA('Pollas Octavos de Final'!H17,'Pollas Octavos de Final'!$H$2,'Pollas Octavos de Final'!I17,'Pollas Octavos de Final'!$I$2)</f>
        <v>Argentina</v>
      </c>
      <c r="E17" s="4">
        <f>PUNTAJE_GANADORES('Pollas Octavos de Final'!H17,'Resultados Oficiales Octavos de'!$C$3,'Pollas Octavos de Final'!I17,'Resultados Oficiales Octavos de'!$D$3,D17,'Resultados Oficiales Octavos de'!$F$3)</f>
        <v>3</v>
      </c>
      <c r="F17" s="4" t="str">
        <f>GANADOR_MARCADOR_POLLA('Pollas Octavos de Final'!J17,'Pollas Octavos de Final'!$J$2,'Pollas Octavos de Final'!K17,'Pollas Octavos de Final'!$K$2)</f>
        <v>Francia</v>
      </c>
      <c r="G17" s="4">
        <f>PUNTAJE_GANADORES('Pollas Octavos de Final'!J17,'Resultados Oficiales Octavos de'!$C$4,'Pollas Octavos de Final'!K17,'Resultados Oficiales Octavos de'!$D$4,F17,'Resultados Oficiales Octavos de'!$F$4)</f>
        <v>2</v>
      </c>
      <c r="H17" s="4" t="str">
        <f>GANADOR_MARCADOR_POLLA('Pollas Octavos de Final'!F17,'Pollas Octavos de Final'!$F$2,'Pollas Octavos de Final'!G17,'Pollas Octavos de Final'!$G$2)</f>
        <v>Inglaterra</v>
      </c>
      <c r="I17" s="4">
        <f>PUNTAJE_GANADORES('Pollas Octavos de Final'!F17,'Resultados Oficiales Octavos de'!$C$5,'Pollas Octavos de Final'!G17,'Resultados Oficiales Octavos de'!$D$5,H17,'Resultados Oficiales Octavos de'!$F$5)</f>
        <v>3</v>
      </c>
      <c r="J17" s="4" t="str">
        <f>GANADOR_MARCADOR_POLLA('Pollas Octavos de Final'!L17,'Pollas Octavos de Final'!$L$2,'Pollas Octavos de Final'!M17,'Pollas Octavos de Final'!$M$2)</f>
        <v>Croacia</v>
      </c>
      <c r="K17" s="4">
        <f>PUNTAJE_GANADORES('Pollas Octavos de Final'!L17,'Resultados Oficiales Octavos de'!$C$6,'Pollas Octavos de Final'!M17,'Resultados Oficiales Octavos de'!$D$6,J17,'Resultados Oficiales Octavos de'!$F$6)</f>
        <v>1</v>
      </c>
      <c r="L17" s="4" t="str">
        <f>GANADOR_MARCADOR_POLLA('Pollas Octavos de Final'!P17,'Pollas Octavos de Final'!$P$2,'Pollas Octavos de Final'!Q17,'Pollas Octavos de Final'!$Q$2)</f>
        <v>Brasil</v>
      </c>
      <c r="M17" s="4">
        <f>PUNTAJE_GANADORES('Pollas Octavos de Final'!P17,'Resultados Oficiales Octavos de'!$C$7,'Pollas Octavos de Final'!Q17,'Resultados Oficiales Octavos de'!$D$7,L17,'Resultados Oficiales Octavos de'!$F$7)</f>
        <v>2</v>
      </c>
      <c r="N17" s="4" t="str">
        <f>GANADOR_MARCADOR_POLLA('Pollas Octavos de Final'!N17,'Pollas Octavos de Final'!$N$2,'Pollas Octavos de Final'!O17,'Pollas Octavos de Final'!$O$2)</f>
        <v>España</v>
      </c>
      <c r="O17" s="4">
        <f>PUNTAJE_GANADORES('Pollas Octavos de Final'!N17,'Resultados Oficiales Octavos de'!$C$8,'Pollas Octavos de Final'!O17,'Resultados Oficiales Octavos de'!$D$8,N17,'Resultados Oficiales Octavos de'!$F$8)</f>
        <v>0</v>
      </c>
      <c r="P17" s="4" t="str">
        <f>GANADOR_MARCADOR_POLLA('Pollas Octavos de Final'!R17,'Pollas Octavos de Final'!$R$2,'Pollas Octavos de Final'!S17,'Pollas Octavos de Final'!$S$2)</f>
        <v>Portugal</v>
      </c>
      <c r="Q17" s="4">
        <f>PUNTAJE_GANADORES('Pollas Octavos de Final'!R17,'Resultados Oficiales Octavos de'!$C$9,'Pollas Octavos de Final'!S17,'Resultados Oficiales Octavos de'!$D$9,P17,'Resultados Oficiales Octavos de'!$F$9)</f>
        <v>2</v>
      </c>
      <c r="R17" s="4">
        <f t="shared" si="1"/>
        <v>16</v>
      </c>
    </row>
    <row r="18">
      <c r="A18" s="3" t="str">
        <f>'Pollas Octavos de Final'!C18</f>
        <v>La qatarsis mundial</v>
      </c>
      <c r="B18" s="4" t="str">
        <f>GANADOR_MARCADOR_POLLA('Pollas Octavos de Final'!D18,'Pollas Octavos de Final'!$D$2,'Pollas Octavos de Final'!E18,'Pollas Octavos de Final'!$E$2)</f>
        <v>Paises Bajos</v>
      </c>
      <c r="C18" s="4">
        <f>PUNTAJE_GANADORES('Pollas Octavos de Final'!D18,'Resultados Oficiales Octavos de'!$C$2,'Pollas Octavos de Final'!E18,'Resultados Oficiales Octavos de'!$D$2,B18,'Resultados Oficiales Octavos de'!$F$2)</f>
        <v>3</v>
      </c>
      <c r="D18" s="4" t="str">
        <f>GANADOR_MARCADOR_POLLA('Pollas Octavos de Final'!H18,'Pollas Octavos de Final'!$H$2,'Pollas Octavos de Final'!I18,'Pollas Octavos de Final'!$I$2)</f>
        <v>Argentina</v>
      </c>
      <c r="E18" s="4">
        <f>PUNTAJE_GANADORES('Pollas Octavos de Final'!H18,'Resultados Oficiales Octavos de'!$C$3,'Pollas Octavos de Final'!I18,'Resultados Oficiales Octavos de'!$D$3,D18,'Resultados Oficiales Octavos de'!$F$3)</f>
        <v>2</v>
      </c>
      <c r="F18" s="4" t="str">
        <f>GANADOR_MARCADOR_POLLA('Pollas Octavos de Final'!J18,'Pollas Octavos de Final'!$J$2,'Pollas Octavos de Final'!K18,'Pollas Octavos de Final'!$K$2)</f>
        <v>Francia</v>
      </c>
      <c r="G18" s="4">
        <f>PUNTAJE_GANADORES('Pollas Octavos de Final'!J18,'Resultados Oficiales Octavos de'!$C$4,'Pollas Octavos de Final'!K18,'Resultados Oficiales Octavos de'!$D$4,F18,'Resultados Oficiales Octavos de'!$F$4)</f>
        <v>3</v>
      </c>
      <c r="H18" s="4" t="str">
        <f>GANADOR_MARCADOR_POLLA('Pollas Octavos de Final'!F18,'Pollas Octavos de Final'!$F$2,'Pollas Octavos de Final'!G18,'Pollas Octavos de Final'!$G$2)</f>
        <v>Inglaterra</v>
      </c>
      <c r="I18" s="4">
        <f>PUNTAJE_GANADORES('Pollas Octavos de Final'!F18,'Resultados Oficiales Octavos de'!$C$5,'Pollas Octavos de Final'!G18,'Resultados Oficiales Octavos de'!$D$5,H18,'Resultados Oficiales Octavos de'!$F$5)</f>
        <v>3</v>
      </c>
      <c r="J18" s="4" t="str">
        <f>GANADOR_MARCADOR_POLLA('Pollas Octavos de Final'!L18,'Pollas Octavos de Final'!$L$2,'Pollas Octavos de Final'!M18,'Pollas Octavos de Final'!$M$2)</f>
        <v>Croacia</v>
      </c>
      <c r="K18" s="4">
        <f>PUNTAJE_GANADORES('Pollas Octavos de Final'!L18,'Resultados Oficiales Octavos de'!$C$6,'Pollas Octavos de Final'!M18,'Resultados Oficiales Octavos de'!$D$6,J18,'Resultados Oficiales Octavos de'!$F$6)</f>
        <v>1</v>
      </c>
      <c r="L18" s="4" t="str">
        <f>GANADOR_MARCADOR_POLLA('Pollas Octavos de Final'!P18,'Pollas Octavos de Final'!$P$2,'Pollas Octavos de Final'!Q18,'Pollas Octavos de Final'!$Q$2)</f>
        <v>Brasil</v>
      </c>
      <c r="M18" s="4">
        <f>PUNTAJE_GANADORES('Pollas Octavos de Final'!P18,'Resultados Oficiales Octavos de'!$C$7,'Pollas Octavos de Final'!Q18,'Resultados Oficiales Octavos de'!$D$7,L18,'Resultados Oficiales Octavos de'!$F$7)</f>
        <v>2</v>
      </c>
      <c r="N18" s="4" t="str">
        <f>GANADOR_MARCADOR_POLLA('Pollas Octavos de Final'!N18,'Pollas Octavos de Final'!$N$2,'Pollas Octavos de Final'!O18,'Pollas Octavos de Final'!$O$2)</f>
        <v>España</v>
      </c>
      <c r="O18" s="4">
        <f>PUNTAJE_GANADORES('Pollas Octavos de Final'!N18,'Resultados Oficiales Octavos de'!$C$8,'Pollas Octavos de Final'!O18,'Resultados Oficiales Octavos de'!$D$8,N18,'Resultados Oficiales Octavos de'!$F$8)</f>
        <v>0</v>
      </c>
      <c r="P18" s="4" t="str">
        <f>GANADOR_MARCADOR_POLLA('Pollas Octavos de Final'!R18,'Pollas Octavos de Final'!$R$2,'Pollas Octavos de Final'!S18,'Pollas Octavos de Final'!$S$2)</f>
        <v>EMPATE</v>
      </c>
      <c r="Q18" s="4">
        <f>PUNTAJE_GANADORES('Pollas Octavos de Final'!R18,'Resultados Oficiales Octavos de'!$C$9,'Pollas Octavos de Final'!S18,'Resultados Oficiales Octavos de'!$D$9,P18,'Resultados Oficiales Octavos de'!$F$9)</f>
        <v>0</v>
      </c>
      <c r="R18" s="4">
        <f t="shared" si="1"/>
        <v>14</v>
      </c>
    </row>
    <row r="19">
      <c r="A19" s="3" t="str">
        <f>'Pollas Octavos de Final'!C19</f>
        <v>Pregunte por lo que no vea</v>
      </c>
      <c r="B19" s="4" t="str">
        <f>GANADOR_MARCADOR_POLLA('Pollas Octavos de Final'!D19,'Pollas Octavos de Final'!$D$2,'Pollas Octavos de Final'!E19,'Pollas Octavos de Final'!$E$2)</f>
        <v>Paises Bajos</v>
      </c>
      <c r="C19" s="4">
        <f>PUNTAJE_GANADORES('Pollas Octavos de Final'!D19,'Resultados Oficiales Octavos de'!$C$2,'Pollas Octavos de Final'!E19,'Resultados Oficiales Octavos de'!$D$2,B19,'Resultados Oficiales Octavos de'!$F$2)</f>
        <v>3</v>
      </c>
      <c r="D19" s="4" t="str">
        <f>GANADOR_MARCADOR_POLLA('Pollas Octavos de Final'!H19,'Pollas Octavos de Final'!$H$2,'Pollas Octavos de Final'!I19,'Pollas Octavos de Final'!$I$2)</f>
        <v>Argentina</v>
      </c>
      <c r="E19" s="4">
        <f>PUNTAJE_GANADORES('Pollas Octavos de Final'!H19,'Resultados Oficiales Octavos de'!$C$3,'Pollas Octavos de Final'!I19,'Resultados Oficiales Octavos de'!$D$3,D19,'Resultados Oficiales Octavos de'!$F$3)</f>
        <v>3</v>
      </c>
      <c r="F19" s="4" t="str">
        <f>GANADOR_MARCADOR_POLLA('Pollas Octavos de Final'!J19,'Pollas Octavos de Final'!$J$2,'Pollas Octavos de Final'!K19,'Pollas Octavos de Final'!$K$2)</f>
        <v>Francia</v>
      </c>
      <c r="G19" s="4">
        <f>PUNTAJE_GANADORES('Pollas Octavos de Final'!J19,'Resultados Oficiales Octavos de'!$C$4,'Pollas Octavos de Final'!K19,'Resultados Oficiales Octavos de'!$D$4,F19,'Resultados Oficiales Octavos de'!$F$4)</f>
        <v>2</v>
      </c>
      <c r="H19" s="4" t="str">
        <f>GANADOR_MARCADOR_POLLA('Pollas Octavos de Final'!F19,'Pollas Octavos de Final'!$F$2,'Pollas Octavos de Final'!G19,'Pollas Octavos de Final'!$G$2)</f>
        <v>EMPATE</v>
      </c>
      <c r="I19" s="4">
        <f>PUNTAJE_GANADORES('Pollas Octavos de Final'!F19,'Resultados Oficiales Octavos de'!$C$5,'Pollas Octavos de Final'!G19,'Resultados Oficiales Octavos de'!$D$5,H19,'Resultados Oficiales Octavos de'!$F$5)</f>
        <v>0</v>
      </c>
      <c r="J19" s="4" t="str">
        <f>GANADOR_MARCADOR_POLLA('Pollas Octavos de Final'!L19,'Pollas Octavos de Final'!$L$2,'Pollas Octavos de Final'!M19,'Pollas Octavos de Final'!$M$2)</f>
        <v>Croacia</v>
      </c>
      <c r="K19" s="4">
        <f>PUNTAJE_GANADORES('Pollas Octavos de Final'!L19,'Resultados Oficiales Octavos de'!$C$6,'Pollas Octavos de Final'!M19,'Resultados Oficiales Octavos de'!$D$6,J19,'Resultados Oficiales Octavos de'!$F$6)</f>
        <v>1</v>
      </c>
      <c r="L19" s="4" t="str">
        <f>GANADOR_MARCADOR_POLLA('Pollas Octavos de Final'!P19,'Pollas Octavos de Final'!$P$2,'Pollas Octavos de Final'!Q19,'Pollas Octavos de Final'!$Q$2)</f>
        <v>Brasil</v>
      </c>
      <c r="M19" s="4">
        <f>PUNTAJE_GANADORES('Pollas Octavos de Final'!P19,'Resultados Oficiales Octavos de'!$C$7,'Pollas Octavos de Final'!Q19,'Resultados Oficiales Octavos de'!$D$7,L19,'Resultados Oficiales Octavos de'!$F$7)</f>
        <v>2</v>
      </c>
      <c r="N19" s="4" t="str">
        <f>GANADOR_MARCADOR_POLLA('Pollas Octavos de Final'!N19,'Pollas Octavos de Final'!$N$2,'Pollas Octavos de Final'!O19,'Pollas Octavos de Final'!$O$2)</f>
        <v>España</v>
      </c>
      <c r="O19" s="4">
        <f>PUNTAJE_GANADORES('Pollas Octavos de Final'!N19,'Resultados Oficiales Octavos de'!$C$8,'Pollas Octavos de Final'!O19,'Resultados Oficiales Octavos de'!$D$8,N19,'Resultados Oficiales Octavos de'!$F$8)</f>
        <v>0</v>
      </c>
      <c r="P19" s="4" t="str">
        <f>GANADOR_MARCADOR_POLLA('Pollas Octavos de Final'!R19,'Pollas Octavos de Final'!$R$2,'Pollas Octavos de Final'!S19,'Pollas Octavos de Final'!$S$2)</f>
        <v>EMPATE</v>
      </c>
      <c r="Q19" s="4">
        <f>PUNTAJE_GANADORES('Pollas Octavos de Final'!R19,'Resultados Oficiales Octavos de'!$C$9,'Pollas Octavos de Final'!S19,'Resultados Oficiales Octavos de'!$D$9,P19,'Resultados Oficiales Octavos de'!$F$9)</f>
        <v>0</v>
      </c>
      <c r="R19" s="4">
        <f t="shared" si="1"/>
        <v>11</v>
      </c>
    </row>
    <row r="20">
      <c r="A20" s="3" t="str">
        <f>'Pollas Octavos de Final'!C20</f>
        <v>La Perripolla</v>
      </c>
      <c r="B20" s="4" t="str">
        <f>GANADOR_MARCADOR_POLLA('Pollas Octavos de Final'!D20,'Pollas Octavos de Final'!$D$2,'Pollas Octavos de Final'!E20,'Pollas Octavos de Final'!$E$2)</f>
        <v>Paises Bajos</v>
      </c>
      <c r="C20" s="4">
        <f>PUNTAJE_GANADORES('Pollas Octavos de Final'!D20,'Resultados Oficiales Octavos de'!$C$2,'Pollas Octavos de Final'!E20,'Resultados Oficiales Octavos de'!$D$2,B20,'Resultados Oficiales Octavos de'!$F$2)</f>
        <v>2</v>
      </c>
      <c r="D20" s="4" t="str">
        <f>GANADOR_MARCADOR_POLLA('Pollas Octavos de Final'!H20,'Pollas Octavos de Final'!$H$2,'Pollas Octavos de Final'!I20,'Pollas Octavos de Final'!$I$2)</f>
        <v>Argentina</v>
      </c>
      <c r="E20" s="4">
        <f>PUNTAJE_GANADORES('Pollas Octavos de Final'!H20,'Resultados Oficiales Octavos de'!$C$3,'Pollas Octavos de Final'!I20,'Resultados Oficiales Octavos de'!$D$3,D20,'Resultados Oficiales Octavos de'!$F$3)</f>
        <v>5</v>
      </c>
      <c r="F20" s="4" t="str">
        <f>GANADOR_MARCADOR_POLLA('Pollas Octavos de Final'!J20,'Pollas Octavos de Final'!$J$2,'Pollas Octavos de Final'!K20,'Pollas Octavos de Final'!$K$2)</f>
        <v>Francia</v>
      </c>
      <c r="G20" s="4">
        <f>PUNTAJE_GANADORES('Pollas Octavos de Final'!J20,'Resultados Oficiales Octavos de'!$C$4,'Pollas Octavos de Final'!K20,'Resultados Oficiales Octavos de'!$D$4,F20,'Resultados Oficiales Octavos de'!$F$4)</f>
        <v>2</v>
      </c>
      <c r="H20" s="4" t="str">
        <f>GANADOR_MARCADOR_POLLA('Pollas Octavos de Final'!F20,'Pollas Octavos de Final'!$F$2,'Pollas Octavos de Final'!G20,'Pollas Octavos de Final'!$G$2)</f>
        <v>Inglaterra</v>
      </c>
      <c r="I20" s="4">
        <f>PUNTAJE_GANADORES('Pollas Octavos de Final'!F20,'Resultados Oficiales Octavos de'!$C$5,'Pollas Octavos de Final'!G20,'Resultados Oficiales Octavos de'!$D$5,H20,'Resultados Oficiales Octavos de'!$F$5)</f>
        <v>3</v>
      </c>
      <c r="J20" s="4" t="str">
        <f>GANADOR_MARCADOR_POLLA('Pollas Octavos de Final'!L20,'Pollas Octavos de Final'!$L$2,'Pollas Octavos de Final'!M20,'Pollas Octavos de Final'!$M$2)</f>
        <v>Japón</v>
      </c>
      <c r="K20" s="4">
        <f>PUNTAJE_GANADORES('Pollas Octavos de Final'!L20,'Resultados Oficiales Octavos de'!$C$6,'Pollas Octavos de Final'!M20,'Resultados Oficiales Octavos de'!$D$6,J20,'Resultados Oficiales Octavos de'!$F$6)</f>
        <v>1</v>
      </c>
      <c r="L20" s="4" t="str">
        <f>GANADOR_MARCADOR_POLLA('Pollas Octavos de Final'!P20,'Pollas Octavos de Final'!$P$2,'Pollas Octavos de Final'!Q20,'Pollas Octavos de Final'!$Q$2)</f>
        <v>Brasil</v>
      </c>
      <c r="M20" s="4">
        <f>PUNTAJE_GANADORES('Pollas Octavos de Final'!P20,'Resultados Oficiales Octavos de'!$C$7,'Pollas Octavos de Final'!Q20,'Resultados Oficiales Octavos de'!$D$7,L20,'Resultados Oficiales Octavos de'!$F$7)</f>
        <v>2</v>
      </c>
      <c r="N20" s="4" t="str">
        <f>GANADOR_MARCADOR_POLLA('Pollas Octavos de Final'!N20,'Pollas Octavos de Final'!$N$2,'Pollas Octavos de Final'!O20,'Pollas Octavos de Final'!$O$2)</f>
        <v>EMPATE</v>
      </c>
      <c r="O20" s="4">
        <f>PUNTAJE_GANADORES('Pollas Octavos de Final'!N20,'Resultados Oficiales Octavos de'!$C$8,'Pollas Octavos de Final'!O20,'Resultados Oficiales Octavos de'!$D$8,N20,'Resultados Oficiales Octavos de'!$F$8)</f>
        <v>1</v>
      </c>
      <c r="P20" s="4" t="str">
        <f>GANADOR_MARCADOR_POLLA('Pollas Octavos de Final'!R20,'Pollas Octavos de Final'!$R$2,'Pollas Octavos de Final'!S20,'Pollas Octavos de Final'!$S$2)</f>
        <v>Portugal</v>
      </c>
      <c r="Q20" s="4">
        <f>PUNTAJE_GANADORES('Pollas Octavos de Final'!R20,'Resultados Oficiales Octavos de'!$C$9,'Pollas Octavos de Final'!S20,'Resultados Oficiales Octavos de'!$D$9,P20,'Resultados Oficiales Octavos de'!$F$9)</f>
        <v>3</v>
      </c>
      <c r="R20" s="4">
        <f t="shared" si="1"/>
        <v>19</v>
      </c>
    </row>
    <row r="21">
      <c r="A21" s="3" t="str">
        <f>'Pollas Octavos de Final'!C21</f>
        <v>John Jaramillo-Diogenes Restrepo</v>
      </c>
      <c r="B21" s="4" t="str">
        <f>GANADOR_MARCADOR_POLLA('Pollas Octavos de Final'!D21,'Pollas Octavos de Final'!$D$2,'Pollas Octavos de Final'!E21,'Pollas Octavos de Final'!$E$2)</f>
        <v>Estados Unidos</v>
      </c>
      <c r="C21" s="4">
        <f>PUNTAJE_GANADORES('Pollas Octavos de Final'!D21,'Resultados Oficiales Octavos de'!$C$2,'Pollas Octavos de Final'!E21,'Resultados Oficiales Octavos de'!$D$2,B21,'Resultados Oficiales Octavos de'!$F$2)</f>
        <v>0</v>
      </c>
      <c r="D21" s="4" t="str">
        <f>GANADOR_MARCADOR_POLLA('Pollas Octavos de Final'!H21,'Pollas Octavos de Final'!$H$2,'Pollas Octavos de Final'!I21,'Pollas Octavos de Final'!$I$2)</f>
        <v>Argentina</v>
      </c>
      <c r="E21" s="4">
        <f>PUNTAJE_GANADORES('Pollas Octavos de Final'!H21,'Resultados Oficiales Octavos de'!$C$3,'Pollas Octavos de Final'!I21,'Resultados Oficiales Octavos de'!$D$3,D21,'Resultados Oficiales Octavos de'!$F$3)</f>
        <v>3</v>
      </c>
      <c r="F21" s="4" t="str">
        <f>GANADOR_MARCADOR_POLLA('Pollas Octavos de Final'!J21,'Pollas Octavos de Final'!$J$2,'Pollas Octavos de Final'!K21,'Pollas Octavos de Final'!$K$2)</f>
        <v>Francia</v>
      </c>
      <c r="G21" s="4">
        <f>PUNTAJE_GANADORES('Pollas Octavos de Final'!J21,'Resultados Oficiales Octavos de'!$C$4,'Pollas Octavos de Final'!K21,'Resultados Oficiales Octavos de'!$D$4,F21,'Resultados Oficiales Octavos de'!$F$4)</f>
        <v>3</v>
      </c>
      <c r="H21" s="4" t="str">
        <f>GANADOR_MARCADOR_POLLA('Pollas Octavos de Final'!F21,'Pollas Octavos de Final'!$F$2,'Pollas Octavos de Final'!G21,'Pollas Octavos de Final'!$G$2)</f>
        <v>Senegal</v>
      </c>
      <c r="I21" s="4">
        <f>PUNTAJE_GANADORES('Pollas Octavos de Final'!F21,'Resultados Oficiales Octavos de'!$C$5,'Pollas Octavos de Final'!G21,'Resultados Oficiales Octavos de'!$D$5,H21,'Resultados Oficiales Octavos de'!$F$5)</f>
        <v>0</v>
      </c>
      <c r="J21" s="4" t="str">
        <f>GANADOR_MARCADOR_POLLA('Pollas Octavos de Final'!L21,'Pollas Octavos de Final'!$L$2,'Pollas Octavos de Final'!M21,'Pollas Octavos de Final'!$M$2)</f>
        <v>Japón</v>
      </c>
      <c r="K21" s="4">
        <f>PUNTAJE_GANADORES('Pollas Octavos de Final'!L21,'Resultados Oficiales Octavos de'!$C$6,'Pollas Octavos de Final'!M21,'Resultados Oficiales Octavos de'!$D$6,J21,'Resultados Oficiales Octavos de'!$F$6)</f>
        <v>1</v>
      </c>
      <c r="L21" s="4" t="str">
        <f>GANADOR_MARCADOR_POLLA('Pollas Octavos de Final'!P21,'Pollas Octavos de Final'!$P$2,'Pollas Octavos de Final'!Q21,'Pollas Octavos de Final'!$Q$2)</f>
        <v>Brasil</v>
      </c>
      <c r="M21" s="4">
        <f>PUNTAJE_GANADORES('Pollas Octavos de Final'!P21,'Resultados Oficiales Octavos de'!$C$7,'Pollas Octavos de Final'!Q21,'Resultados Oficiales Octavos de'!$D$7,L21,'Resultados Oficiales Octavos de'!$F$7)</f>
        <v>2</v>
      </c>
      <c r="N21" s="4" t="str">
        <f>GANADOR_MARCADOR_POLLA('Pollas Octavos de Final'!N21,'Pollas Octavos de Final'!$N$2,'Pollas Octavos de Final'!O21,'Pollas Octavos de Final'!$O$2)</f>
        <v>Marruecos</v>
      </c>
      <c r="O21" s="4">
        <f>PUNTAJE_GANADORES('Pollas Octavos de Final'!N21,'Resultados Oficiales Octavos de'!$C$8,'Pollas Octavos de Final'!O21,'Resultados Oficiales Octavos de'!$D$8,N21,'Resultados Oficiales Octavos de'!$F$8)</f>
        <v>0</v>
      </c>
      <c r="P21" s="4" t="str">
        <f>GANADOR_MARCADOR_POLLA('Pollas Octavos de Final'!R21,'Pollas Octavos de Final'!$R$2,'Pollas Octavos de Final'!S21,'Pollas Octavos de Final'!$S$2)</f>
        <v>EMPATE</v>
      </c>
      <c r="Q21" s="4">
        <f>PUNTAJE_GANADORES('Pollas Octavos de Final'!R21,'Resultados Oficiales Octavos de'!$C$9,'Pollas Octavos de Final'!S21,'Resultados Oficiales Octavos de'!$D$9,P21,'Resultados Oficiales Octavos de'!$F$9)</f>
        <v>1</v>
      </c>
      <c r="R21" s="4">
        <f t="shared" si="1"/>
        <v>10</v>
      </c>
    </row>
    <row r="22">
      <c r="A22" s="3" t="str">
        <f>'Pollas Octavos de Final'!C22</f>
        <v>Andres &amp; Cia</v>
      </c>
      <c r="B22" s="4" t="str">
        <f>GANADOR_MARCADOR_POLLA('Pollas Octavos de Final'!D22,'Pollas Octavos de Final'!$D$2,'Pollas Octavos de Final'!E22,'Pollas Octavos de Final'!$E$2)</f>
        <v>EMPATE</v>
      </c>
      <c r="C22" s="4">
        <f>PUNTAJE_GANADORES('Pollas Octavos de Final'!D22,'Resultados Oficiales Octavos de'!$C$2,'Pollas Octavos de Final'!E22,'Resultados Oficiales Octavos de'!$D$2,B22,'Resultados Oficiales Octavos de'!$F$2)</f>
        <v>1</v>
      </c>
      <c r="D22" s="4" t="str">
        <f>GANADOR_MARCADOR_POLLA('Pollas Octavos de Final'!H22,'Pollas Octavos de Final'!$H$2,'Pollas Octavos de Final'!I22,'Pollas Octavos de Final'!$I$2)</f>
        <v>Argentina</v>
      </c>
      <c r="E22" s="4">
        <f>PUNTAJE_GANADORES('Pollas Octavos de Final'!H22,'Resultados Oficiales Octavos de'!$C$3,'Pollas Octavos de Final'!I22,'Resultados Oficiales Octavos de'!$D$3,D22,'Resultados Oficiales Octavos de'!$F$3)</f>
        <v>2</v>
      </c>
      <c r="F22" s="4" t="str">
        <f>GANADOR_MARCADOR_POLLA('Pollas Octavos de Final'!J22,'Pollas Octavos de Final'!$J$2,'Pollas Octavos de Final'!K22,'Pollas Octavos de Final'!$K$2)</f>
        <v>Francia</v>
      </c>
      <c r="G22" s="4">
        <f>PUNTAJE_GANADORES('Pollas Octavos de Final'!J22,'Resultados Oficiales Octavos de'!$C$4,'Pollas Octavos de Final'!K22,'Resultados Oficiales Octavos de'!$D$4,F22,'Resultados Oficiales Octavos de'!$F$4)</f>
        <v>5</v>
      </c>
      <c r="H22" s="4" t="str">
        <f>GANADOR_MARCADOR_POLLA('Pollas Octavos de Final'!F22,'Pollas Octavos de Final'!$F$2,'Pollas Octavos de Final'!G22,'Pollas Octavos de Final'!$G$2)</f>
        <v>Inglaterra</v>
      </c>
      <c r="I22" s="4">
        <f>PUNTAJE_GANADORES('Pollas Octavos de Final'!F22,'Resultados Oficiales Octavos de'!$C$5,'Pollas Octavos de Final'!G22,'Resultados Oficiales Octavos de'!$D$5,H22,'Resultados Oficiales Octavos de'!$F$5)</f>
        <v>2</v>
      </c>
      <c r="J22" s="4" t="str">
        <f>GANADOR_MARCADOR_POLLA('Pollas Octavos de Final'!L22,'Pollas Octavos de Final'!$L$2,'Pollas Octavos de Final'!M22,'Pollas Octavos de Final'!$M$2)</f>
        <v>Croacia</v>
      </c>
      <c r="K22" s="4">
        <f>PUNTAJE_GANADORES('Pollas Octavos de Final'!L22,'Resultados Oficiales Octavos de'!$C$6,'Pollas Octavos de Final'!M22,'Resultados Oficiales Octavos de'!$D$6,J22,'Resultados Oficiales Octavos de'!$F$6)</f>
        <v>0</v>
      </c>
      <c r="L22" s="4" t="str">
        <f>GANADOR_MARCADOR_POLLA('Pollas Octavos de Final'!P22,'Pollas Octavos de Final'!$P$2,'Pollas Octavos de Final'!Q22,'Pollas Octavos de Final'!$Q$2)</f>
        <v>Brasil</v>
      </c>
      <c r="M22" s="4">
        <f>PUNTAJE_GANADORES('Pollas Octavos de Final'!P22,'Resultados Oficiales Octavos de'!$C$7,'Pollas Octavos de Final'!Q22,'Resultados Oficiales Octavos de'!$D$7,L22,'Resultados Oficiales Octavos de'!$F$7)</f>
        <v>3</v>
      </c>
      <c r="N22" s="4" t="str">
        <f>GANADOR_MARCADOR_POLLA('Pollas Octavos de Final'!N22,'Pollas Octavos de Final'!$N$2,'Pollas Octavos de Final'!O22,'Pollas Octavos de Final'!$O$2)</f>
        <v>EMPATE</v>
      </c>
      <c r="O22" s="4">
        <f>PUNTAJE_GANADORES('Pollas Octavos de Final'!N22,'Resultados Oficiales Octavos de'!$C$8,'Pollas Octavos de Final'!O22,'Resultados Oficiales Octavos de'!$D$8,N22,'Resultados Oficiales Octavos de'!$F$8)</f>
        <v>1</v>
      </c>
      <c r="P22" s="4" t="str">
        <f>GANADOR_MARCADOR_POLLA('Pollas Octavos de Final'!R22,'Pollas Octavos de Final'!$R$2,'Pollas Octavos de Final'!S22,'Pollas Octavos de Final'!$S$2)</f>
        <v>EMPATE</v>
      </c>
      <c r="Q22" s="4">
        <f>PUNTAJE_GANADORES('Pollas Octavos de Final'!R22,'Resultados Oficiales Octavos de'!$C$9,'Pollas Octavos de Final'!S22,'Resultados Oficiales Octavos de'!$D$9,P22,'Resultados Oficiales Octavos de'!$F$9)</f>
        <v>1</v>
      </c>
      <c r="R22" s="4">
        <f t="shared" si="1"/>
        <v>15</v>
      </c>
    </row>
    <row r="23">
      <c r="A23" s="3" t="str">
        <f>'Pollas Octavos de Final'!C23</f>
        <v>Cristina Valentina Echeverri- Las fieras</v>
      </c>
      <c r="B23" s="4" t="str">
        <f>GANADOR_MARCADOR_POLLA('Pollas Octavos de Final'!D23,'Pollas Octavos de Final'!$D$2,'Pollas Octavos de Final'!E23,'Pollas Octavos de Final'!$E$2)</f>
        <v>Paises Bajos</v>
      </c>
      <c r="C23" s="4">
        <f>PUNTAJE_GANADORES('Pollas Octavos de Final'!D23,'Resultados Oficiales Octavos de'!$C$2,'Pollas Octavos de Final'!E23,'Resultados Oficiales Octavos de'!$D$2,B23,'Resultados Oficiales Octavos de'!$F$2)</f>
        <v>3</v>
      </c>
      <c r="D23" s="4" t="str">
        <f>GANADOR_MARCADOR_POLLA('Pollas Octavos de Final'!H23,'Pollas Octavos de Final'!$H$2,'Pollas Octavos de Final'!I23,'Pollas Octavos de Final'!$I$2)</f>
        <v>Argentina</v>
      </c>
      <c r="E23" s="4">
        <f>PUNTAJE_GANADORES('Pollas Octavos de Final'!H23,'Resultados Oficiales Octavos de'!$C$3,'Pollas Octavos de Final'!I23,'Resultados Oficiales Octavos de'!$D$3,D23,'Resultados Oficiales Octavos de'!$F$3)</f>
        <v>2</v>
      </c>
      <c r="F23" s="4" t="str">
        <f>GANADOR_MARCADOR_POLLA('Pollas Octavos de Final'!J23,'Pollas Octavos de Final'!$J$2,'Pollas Octavos de Final'!K23,'Pollas Octavos de Final'!$K$2)</f>
        <v>Francia</v>
      </c>
      <c r="G23" s="4">
        <f>PUNTAJE_GANADORES('Pollas Octavos de Final'!J23,'Resultados Oficiales Octavos de'!$C$4,'Pollas Octavos de Final'!K23,'Resultados Oficiales Octavos de'!$D$4,F23,'Resultados Oficiales Octavos de'!$F$4)</f>
        <v>3</v>
      </c>
      <c r="H23" s="4" t="str">
        <f>GANADOR_MARCADOR_POLLA('Pollas Octavos de Final'!F23,'Pollas Octavos de Final'!$F$2,'Pollas Octavos de Final'!G23,'Pollas Octavos de Final'!$G$2)</f>
        <v>Inglaterra</v>
      </c>
      <c r="I23" s="4">
        <f>PUNTAJE_GANADORES('Pollas Octavos de Final'!F23,'Resultados Oficiales Octavos de'!$C$5,'Pollas Octavos de Final'!G23,'Resultados Oficiales Octavos de'!$D$5,H23,'Resultados Oficiales Octavos de'!$F$5)</f>
        <v>3</v>
      </c>
      <c r="J23" s="4" t="str">
        <f>GANADOR_MARCADOR_POLLA('Pollas Octavos de Final'!L23,'Pollas Octavos de Final'!$L$2,'Pollas Octavos de Final'!M23,'Pollas Octavos de Final'!$M$2)</f>
        <v>Croacia</v>
      </c>
      <c r="K23" s="4">
        <f>PUNTAJE_GANADORES('Pollas Octavos de Final'!L23,'Resultados Oficiales Octavos de'!$C$6,'Pollas Octavos de Final'!M23,'Resultados Oficiales Octavos de'!$D$6,J23,'Resultados Oficiales Octavos de'!$F$6)</f>
        <v>1</v>
      </c>
      <c r="L23" s="4" t="str">
        <f>GANADOR_MARCADOR_POLLA('Pollas Octavos de Final'!P23,'Pollas Octavos de Final'!$P$2,'Pollas Octavos de Final'!Q23,'Pollas Octavos de Final'!$Q$2)</f>
        <v>Brasil</v>
      </c>
      <c r="M23" s="4">
        <f>PUNTAJE_GANADORES('Pollas Octavos de Final'!P23,'Resultados Oficiales Octavos de'!$C$7,'Pollas Octavos de Final'!Q23,'Resultados Oficiales Octavos de'!$D$7,L23,'Resultados Oficiales Octavos de'!$F$7)</f>
        <v>3</v>
      </c>
      <c r="N23" s="4" t="str">
        <f>GANADOR_MARCADOR_POLLA('Pollas Octavos de Final'!N23,'Pollas Octavos de Final'!$N$2,'Pollas Octavos de Final'!O23,'Pollas Octavos de Final'!$O$2)</f>
        <v>España</v>
      </c>
      <c r="O23" s="4">
        <f>PUNTAJE_GANADORES('Pollas Octavos de Final'!N23,'Resultados Oficiales Octavos de'!$C$8,'Pollas Octavos de Final'!O23,'Resultados Oficiales Octavos de'!$D$8,N23,'Resultados Oficiales Octavos de'!$F$8)</f>
        <v>0</v>
      </c>
      <c r="P23" s="4" t="str">
        <f>GANADOR_MARCADOR_POLLA('Pollas Octavos de Final'!R23,'Pollas Octavos de Final'!$R$2,'Pollas Octavos de Final'!S23,'Pollas Octavos de Final'!$S$2)</f>
        <v>EMPATE</v>
      </c>
      <c r="Q23" s="4">
        <f>PUNTAJE_GANADORES('Pollas Octavos de Final'!R23,'Resultados Oficiales Octavos de'!$C$9,'Pollas Octavos de Final'!S23,'Resultados Oficiales Octavos de'!$D$9,P23,'Resultados Oficiales Octavos de'!$F$9)</f>
        <v>1</v>
      </c>
      <c r="R23" s="4">
        <f t="shared" si="1"/>
        <v>16</v>
      </c>
    </row>
    <row r="24">
      <c r="A24" s="3" t="str">
        <f>'Pollas Octavos de Final'!C24</f>
        <v>Safiro y Acero</v>
      </c>
      <c r="B24" s="4" t="str">
        <f>GANADOR_MARCADOR_POLLA('Pollas Octavos de Final'!D24,'Pollas Octavos de Final'!$D$2,'Pollas Octavos de Final'!E24,'Pollas Octavos de Final'!$E$2)</f>
        <v>Paises Bajos</v>
      </c>
      <c r="C24" s="4">
        <f>PUNTAJE_GANADORES('Pollas Octavos de Final'!D24,'Resultados Oficiales Octavos de'!$C$2,'Pollas Octavos de Final'!E24,'Resultados Oficiales Octavos de'!$D$2,B24,'Resultados Oficiales Octavos de'!$F$2)</f>
        <v>3</v>
      </c>
      <c r="D24" s="4" t="str">
        <f>GANADOR_MARCADOR_POLLA('Pollas Octavos de Final'!H24,'Pollas Octavos de Final'!$H$2,'Pollas Octavos de Final'!I24,'Pollas Octavos de Final'!$I$2)</f>
        <v>Argentina</v>
      </c>
      <c r="E24" s="4">
        <f>PUNTAJE_GANADORES('Pollas Octavos de Final'!H24,'Resultados Oficiales Octavos de'!$C$3,'Pollas Octavos de Final'!I24,'Resultados Oficiales Octavos de'!$D$3,D24,'Resultados Oficiales Octavos de'!$F$3)</f>
        <v>3</v>
      </c>
      <c r="F24" s="4" t="str">
        <f>GANADOR_MARCADOR_POLLA('Pollas Octavos de Final'!J24,'Pollas Octavos de Final'!$J$2,'Pollas Octavos de Final'!K24,'Pollas Octavos de Final'!$K$2)</f>
        <v>EMPATE</v>
      </c>
      <c r="G24" s="4">
        <f>PUNTAJE_GANADORES('Pollas Octavos de Final'!J24,'Resultados Oficiales Octavos de'!$C$4,'Pollas Octavos de Final'!K24,'Resultados Oficiales Octavos de'!$D$4,F24,'Resultados Oficiales Octavos de'!$F$4)</f>
        <v>0</v>
      </c>
      <c r="H24" s="4" t="str">
        <f>GANADOR_MARCADOR_POLLA('Pollas Octavos de Final'!F24,'Pollas Octavos de Final'!$F$2,'Pollas Octavos de Final'!G24,'Pollas Octavos de Final'!$G$2)</f>
        <v>Inglaterra</v>
      </c>
      <c r="I24" s="4">
        <f>PUNTAJE_GANADORES('Pollas Octavos de Final'!F24,'Resultados Oficiales Octavos de'!$C$5,'Pollas Octavos de Final'!G24,'Resultados Oficiales Octavos de'!$D$5,H24,'Resultados Oficiales Octavos de'!$F$5)</f>
        <v>5</v>
      </c>
      <c r="J24" s="4" t="str">
        <f>GANADOR_MARCADOR_POLLA('Pollas Octavos de Final'!L24,'Pollas Octavos de Final'!$L$2,'Pollas Octavos de Final'!M24,'Pollas Octavos de Final'!$M$2)</f>
        <v>Japón</v>
      </c>
      <c r="K24" s="4">
        <f>PUNTAJE_GANADORES('Pollas Octavos de Final'!L24,'Resultados Oficiales Octavos de'!$C$6,'Pollas Octavos de Final'!M24,'Resultados Oficiales Octavos de'!$D$6,J24,'Resultados Oficiales Octavos de'!$F$6)</f>
        <v>1</v>
      </c>
      <c r="L24" s="4" t="str">
        <f>GANADOR_MARCADOR_POLLA('Pollas Octavos de Final'!P24,'Pollas Octavos de Final'!$P$2,'Pollas Octavos de Final'!Q24,'Pollas Octavos de Final'!$Q$2)</f>
        <v>Brasil</v>
      </c>
      <c r="M24" s="4">
        <f>PUNTAJE_GANADORES('Pollas Octavos de Final'!P24,'Resultados Oficiales Octavos de'!$C$7,'Pollas Octavos de Final'!Q24,'Resultados Oficiales Octavos de'!$D$7,L24,'Resultados Oficiales Octavos de'!$F$7)</f>
        <v>3</v>
      </c>
      <c r="N24" s="4" t="str">
        <f>GANADOR_MARCADOR_POLLA('Pollas Octavos de Final'!N24,'Pollas Octavos de Final'!$N$2,'Pollas Octavos de Final'!O24,'Pollas Octavos de Final'!$O$2)</f>
        <v>Marruecos</v>
      </c>
      <c r="O24" s="4">
        <f>PUNTAJE_GANADORES('Pollas Octavos de Final'!N24,'Resultados Oficiales Octavos de'!$C$8,'Pollas Octavos de Final'!O24,'Resultados Oficiales Octavos de'!$D$8,N24,'Resultados Oficiales Octavos de'!$F$8)</f>
        <v>0</v>
      </c>
      <c r="P24" s="4" t="str">
        <f>GANADOR_MARCADOR_POLLA('Pollas Octavos de Final'!R24,'Pollas Octavos de Final'!$R$2,'Pollas Octavos de Final'!S24,'Pollas Octavos de Final'!$S$2)</f>
        <v>Suiza</v>
      </c>
      <c r="Q24" s="4">
        <f>PUNTAJE_GANADORES('Pollas Octavos de Final'!R24,'Resultados Oficiales Octavos de'!$C$9,'Pollas Octavos de Final'!S24,'Resultados Oficiales Octavos de'!$D$9,P24,'Resultados Oficiales Octavos de'!$F$9)</f>
        <v>0</v>
      </c>
      <c r="R24" s="4">
        <f t="shared" si="1"/>
        <v>15</v>
      </c>
    </row>
    <row r="25">
      <c r="A25" s="3" t="str">
        <f>'Pollas Octavos de Final'!C25</f>
        <v>Qatarsis 1.0</v>
      </c>
      <c r="B25" s="4" t="str">
        <f>GANADOR_MARCADOR_POLLA('Pollas Octavos de Final'!D25,'Pollas Octavos de Final'!$D$2,'Pollas Octavos de Final'!E25,'Pollas Octavos de Final'!$E$2)</f>
        <v>Paises Bajos</v>
      </c>
      <c r="C25" s="4">
        <f>PUNTAJE_GANADORES('Pollas Octavos de Final'!D25,'Resultados Oficiales Octavos de'!$C$2,'Pollas Octavos de Final'!E25,'Resultados Oficiales Octavos de'!$D$2,B25,'Resultados Oficiales Octavos de'!$F$2)</f>
        <v>3</v>
      </c>
      <c r="D25" s="4" t="str">
        <f>GANADOR_MARCADOR_POLLA('Pollas Octavos de Final'!H25,'Pollas Octavos de Final'!$H$2,'Pollas Octavos de Final'!I25,'Pollas Octavos de Final'!$I$2)</f>
        <v>Argentina</v>
      </c>
      <c r="E25" s="4">
        <f>PUNTAJE_GANADORES('Pollas Octavos de Final'!H25,'Resultados Oficiales Octavos de'!$C$3,'Pollas Octavos de Final'!I25,'Resultados Oficiales Octavos de'!$D$3,D25,'Resultados Oficiales Octavos de'!$F$3)</f>
        <v>3</v>
      </c>
      <c r="F25" s="4" t="str">
        <f>GANADOR_MARCADOR_POLLA('Pollas Octavos de Final'!J25,'Pollas Octavos de Final'!$J$2,'Pollas Octavos de Final'!K25,'Pollas Octavos de Final'!$K$2)</f>
        <v>Francia</v>
      </c>
      <c r="G25" s="4">
        <f>PUNTAJE_GANADORES('Pollas Octavos de Final'!J25,'Resultados Oficiales Octavos de'!$C$4,'Pollas Octavos de Final'!K25,'Resultados Oficiales Octavos de'!$D$4,F25,'Resultados Oficiales Octavos de'!$F$4)</f>
        <v>3</v>
      </c>
      <c r="H25" s="4" t="str">
        <f>GANADOR_MARCADOR_POLLA('Pollas Octavos de Final'!F25,'Pollas Octavos de Final'!$F$2,'Pollas Octavos de Final'!G25,'Pollas Octavos de Final'!$G$2)</f>
        <v>Inglaterra</v>
      </c>
      <c r="I25" s="4">
        <f>PUNTAJE_GANADORES('Pollas Octavos de Final'!F25,'Resultados Oficiales Octavos de'!$C$5,'Pollas Octavos de Final'!G25,'Resultados Oficiales Octavos de'!$D$5,H25,'Resultados Oficiales Octavos de'!$F$5)</f>
        <v>5</v>
      </c>
      <c r="J25" s="4" t="str">
        <f>GANADOR_MARCADOR_POLLA('Pollas Octavos de Final'!L25,'Pollas Octavos de Final'!$L$2,'Pollas Octavos de Final'!M25,'Pollas Octavos de Final'!$M$2)</f>
        <v>Croacia</v>
      </c>
      <c r="K25" s="4">
        <f>PUNTAJE_GANADORES('Pollas Octavos de Final'!L25,'Resultados Oficiales Octavos de'!$C$6,'Pollas Octavos de Final'!M25,'Resultados Oficiales Octavos de'!$D$6,J25,'Resultados Oficiales Octavos de'!$F$6)</f>
        <v>1</v>
      </c>
      <c r="L25" s="4" t="str">
        <f>GANADOR_MARCADOR_POLLA('Pollas Octavos de Final'!P25,'Pollas Octavos de Final'!$P$2,'Pollas Octavos de Final'!Q25,'Pollas Octavos de Final'!$Q$2)</f>
        <v>Brasil</v>
      </c>
      <c r="M25" s="4">
        <f>PUNTAJE_GANADORES('Pollas Octavos de Final'!P25,'Resultados Oficiales Octavos de'!$C$7,'Pollas Octavos de Final'!Q25,'Resultados Oficiales Octavos de'!$D$7,L25,'Resultados Oficiales Octavos de'!$F$7)</f>
        <v>2</v>
      </c>
      <c r="N25" s="4" t="str">
        <f>GANADOR_MARCADOR_POLLA('Pollas Octavos de Final'!N25,'Pollas Octavos de Final'!$N$2,'Pollas Octavos de Final'!O25,'Pollas Octavos de Final'!$O$2)</f>
        <v>EMPATE</v>
      </c>
      <c r="O25" s="4">
        <f>PUNTAJE_GANADORES('Pollas Octavos de Final'!N25,'Resultados Oficiales Octavos de'!$C$8,'Pollas Octavos de Final'!O25,'Resultados Oficiales Octavos de'!$D$8,N25,'Resultados Oficiales Octavos de'!$F$8)</f>
        <v>1</v>
      </c>
      <c r="P25" s="4" t="str">
        <f>GANADOR_MARCADOR_POLLA('Pollas Octavos de Final'!R25,'Pollas Octavos de Final'!$R$2,'Pollas Octavos de Final'!S25,'Pollas Octavos de Final'!$S$2)</f>
        <v>Suiza</v>
      </c>
      <c r="Q25" s="4">
        <f>PUNTAJE_GANADORES('Pollas Octavos de Final'!R25,'Resultados Oficiales Octavos de'!$C$9,'Pollas Octavos de Final'!S25,'Resultados Oficiales Octavos de'!$D$9,P25,'Resultados Oficiales Octavos de'!$F$9)</f>
        <v>0</v>
      </c>
      <c r="R25" s="4">
        <f t="shared" si="1"/>
        <v>18</v>
      </c>
    </row>
    <row r="26">
      <c r="A26" s="3" t="str">
        <f>'Pollas Octavos de Final'!C26</f>
        <v>Qatarsis 2.0</v>
      </c>
      <c r="B26" s="4" t="str">
        <f>GANADOR_MARCADOR_POLLA('Pollas Octavos de Final'!D26,'Pollas Octavos de Final'!$D$2,'Pollas Octavos de Final'!E26,'Pollas Octavos de Final'!$E$2)</f>
        <v>Paises Bajos</v>
      </c>
      <c r="C26" s="4">
        <f>PUNTAJE_GANADORES('Pollas Octavos de Final'!D26,'Resultados Oficiales Octavos de'!$C$2,'Pollas Octavos de Final'!E26,'Resultados Oficiales Octavos de'!$D$2,B26,'Resultados Oficiales Octavos de'!$F$2)</f>
        <v>2</v>
      </c>
      <c r="D26" s="4" t="str">
        <f>GANADOR_MARCADOR_POLLA('Pollas Octavos de Final'!H26,'Pollas Octavos de Final'!$H$2,'Pollas Octavos de Final'!I26,'Pollas Octavos de Final'!$I$2)</f>
        <v>Argentina</v>
      </c>
      <c r="E26" s="4">
        <f>PUNTAJE_GANADORES('Pollas Octavos de Final'!H26,'Resultados Oficiales Octavos de'!$C$3,'Pollas Octavos de Final'!I26,'Resultados Oficiales Octavos de'!$D$3,D26,'Resultados Oficiales Octavos de'!$F$3)</f>
        <v>5</v>
      </c>
      <c r="F26" s="4" t="str">
        <f>GANADOR_MARCADOR_POLLA('Pollas Octavos de Final'!J26,'Pollas Octavos de Final'!$J$2,'Pollas Octavos de Final'!K26,'Pollas Octavos de Final'!$K$2)</f>
        <v>Francia</v>
      </c>
      <c r="G26" s="4">
        <f>PUNTAJE_GANADORES('Pollas Octavos de Final'!J26,'Resultados Oficiales Octavos de'!$C$4,'Pollas Octavos de Final'!K26,'Resultados Oficiales Octavos de'!$D$4,F26,'Resultados Oficiales Octavos de'!$F$4)</f>
        <v>5</v>
      </c>
      <c r="H26" s="4" t="str">
        <f>GANADOR_MARCADOR_POLLA('Pollas Octavos de Final'!F26,'Pollas Octavos de Final'!$F$2,'Pollas Octavos de Final'!G26,'Pollas Octavos de Final'!$G$2)</f>
        <v>Inglaterra</v>
      </c>
      <c r="I26" s="4">
        <f>PUNTAJE_GANADORES('Pollas Octavos de Final'!F26,'Resultados Oficiales Octavos de'!$C$5,'Pollas Octavos de Final'!G26,'Resultados Oficiales Octavos de'!$D$5,H26,'Resultados Oficiales Octavos de'!$F$5)</f>
        <v>3</v>
      </c>
      <c r="J26" s="4" t="str">
        <f>GANADOR_MARCADOR_POLLA('Pollas Octavos de Final'!L26,'Pollas Octavos de Final'!$L$2,'Pollas Octavos de Final'!M26,'Pollas Octavos de Final'!$M$2)</f>
        <v>EMPATE</v>
      </c>
      <c r="K26" s="4">
        <f>PUNTAJE_GANADORES('Pollas Octavos de Final'!L26,'Resultados Oficiales Octavos de'!$C$6,'Pollas Octavos de Final'!M26,'Resultados Oficiales Octavos de'!$D$6,J26,'Resultados Oficiales Octavos de'!$F$6)</f>
        <v>5</v>
      </c>
      <c r="L26" s="4" t="str">
        <f>GANADOR_MARCADOR_POLLA('Pollas Octavos de Final'!P26,'Pollas Octavos de Final'!$P$2,'Pollas Octavos de Final'!Q26,'Pollas Octavos de Final'!$Q$2)</f>
        <v>Brasil</v>
      </c>
      <c r="M26" s="4">
        <f>PUNTAJE_GANADORES('Pollas Octavos de Final'!P26,'Resultados Oficiales Octavos de'!$C$7,'Pollas Octavos de Final'!Q26,'Resultados Oficiales Octavos de'!$D$7,L26,'Resultados Oficiales Octavos de'!$F$7)</f>
        <v>2</v>
      </c>
      <c r="N26" s="4" t="str">
        <f>GANADOR_MARCADOR_POLLA('Pollas Octavos de Final'!N26,'Pollas Octavos de Final'!$N$2,'Pollas Octavos de Final'!O26,'Pollas Octavos de Final'!$O$2)</f>
        <v>Marruecos</v>
      </c>
      <c r="O26" s="4">
        <f>PUNTAJE_GANADORES('Pollas Octavos de Final'!N26,'Resultados Oficiales Octavos de'!$C$8,'Pollas Octavos de Final'!O26,'Resultados Oficiales Octavos de'!$D$8,N26,'Resultados Oficiales Octavos de'!$F$8)</f>
        <v>0</v>
      </c>
      <c r="P26" s="4" t="str">
        <f>GANADOR_MARCADOR_POLLA('Pollas Octavos de Final'!R26,'Pollas Octavos de Final'!$R$2,'Pollas Octavos de Final'!S26,'Pollas Octavos de Final'!$S$2)</f>
        <v>EMPATE</v>
      </c>
      <c r="Q26" s="4">
        <f>PUNTAJE_GANADORES('Pollas Octavos de Final'!R26,'Resultados Oficiales Octavos de'!$C$9,'Pollas Octavos de Final'!S26,'Resultados Oficiales Octavos de'!$D$9,P26,'Resultados Oficiales Octavos de'!$F$9)</f>
        <v>1</v>
      </c>
      <c r="R26" s="4">
        <f t="shared" si="1"/>
        <v>23</v>
      </c>
    </row>
    <row r="27">
      <c r="A27" s="3" t="str">
        <f>'Pollas Octavos de Final'!C27</f>
        <v>Guanabano Indigente</v>
      </c>
      <c r="B27" s="4" t="str">
        <f>GANADOR_MARCADOR_POLLA('Pollas Octavos de Final'!D27,'Pollas Octavos de Final'!$D$2,'Pollas Octavos de Final'!E27,'Pollas Octavos de Final'!$E$2)</f>
        <v>EMPATE</v>
      </c>
      <c r="C27" s="4">
        <f>PUNTAJE_GANADORES('Pollas Octavos de Final'!D27,'Resultados Oficiales Octavos de'!$C$2,'Pollas Octavos de Final'!E27,'Resultados Oficiales Octavos de'!$D$2,B27,'Resultados Oficiales Octavos de'!$F$2)</f>
        <v>1</v>
      </c>
      <c r="D27" s="4" t="str">
        <f>GANADOR_MARCADOR_POLLA('Pollas Octavos de Final'!H27,'Pollas Octavos de Final'!$H$2,'Pollas Octavos de Final'!I27,'Pollas Octavos de Final'!$I$2)</f>
        <v>Argentina</v>
      </c>
      <c r="E27" s="4">
        <f>PUNTAJE_GANADORES('Pollas Octavos de Final'!H27,'Resultados Oficiales Octavos de'!$C$3,'Pollas Octavos de Final'!I27,'Resultados Oficiales Octavos de'!$D$3,D27,'Resultados Oficiales Octavos de'!$F$3)</f>
        <v>5</v>
      </c>
      <c r="F27" s="4" t="str">
        <f>GANADOR_MARCADOR_POLLA('Pollas Octavos de Final'!J27,'Pollas Octavos de Final'!$J$2,'Pollas Octavos de Final'!K27,'Pollas Octavos de Final'!$K$2)</f>
        <v>Francia</v>
      </c>
      <c r="G27" s="4">
        <f>PUNTAJE_GANADORES('Pollas Octavos de Final'!J27,'Resultados Oficiales Octavos de'!$C$4,'Pollas Octavos de Final'!K27,'Resultados Oficiales Octavos de'!$D$4,F27,'Resultados Oficiales Octavos de'!$F$4)</f>
        <v>3</v>
      </c>
      <c r="H27" s="4" t="str">
        <f>GANADOR_MARCADOR_POLLA('Pollas Octavos de Final'!F27,'Pollas Octavos de Final'!$F$2,'Pollas Octavos de Final'!G27,'Pollas Octavos de Final'!$G$2)</f>
        <v>Inglaterra</v>
      </c>
      <c r="I27" s="4">
        <f>PUNTAJE_GANADORES('Pollas Octavos de Final'!F27,'Resultados Oficiales Octavos de'!$C$5,'Pollas Octavos de Final'!G27,'Resultados Oficiales Octavos de'!$D$5,H27,'Resultados Oficiales Octavos de'!$F$5)</f>
        <v>2</v>
      </c>
      <c r="J27" s="4" t="str">
        <f>GANADOR_MARCADOR_POLLA('Pollas Octavos de Final'!L27,'Pollas Octavos de Final'!$L$2,'Pollas Octavos de Final'!M27,'Pollas Octavos de Final'!$M$2)</f>
        <v>Japón</v>
      </c>
      <c r="K27" s="4">
        <f>PUNTAJE_GANADORES('Pollas Octavos de Final'!L27,'Resultados Oficiales Octavos de'!$C$6,'Pollas Octavos de Final'!M27,'Resultados Oficiales Octavos de'!$D$6,J27,'Resultados Oficiales Octavos de'!$F$6)</f>
        <v>1</v>
      </c>
      <c r="L27" s="4" t="str">
        <f>GANADOR_MARCADOR_POLLA('Pollas Octavos de Final'!P27,'Pollas Octavos de Final'!$P$2,'Pollas Octavos de Final'!Q27,'Pollas Octavos de Final'!$Q$2)</f>
        <v>Brasil</v>
      </c>
      <c r="M27" s="4">
        <f>PUNTAJE_GANADORES('Pollas Octavos de Final'!P27,'Resultados Oficiales Octavos de'!$C$7,'Pollas Octavos de Final'!Q27,'Resultados Oficiales Octavos de'!$D$7,L27,'Resultados Oficiales Octavos de'!$F$7)</f>
        <v>2</v>
      </c>
      <c r="N27" s="4" t="str">
        <f>GANADOR_MARCADOR_POLLA('Pollas Octavos de Final'!N27,'Pollas Octavos de Final'!$N$2,'Pollas Octavos de Final'!O27,'Pollas Octavos de Final'!$O$2)</f>
        <v>EMPATE</v>
      </c>
      <c r="O27" s="4">
        <f>PUNTAJE_GANADORES('Pollas Octavos de Final'!N27,'Resultados Oficiales Octavos de'!$C$8,'Pollas Octavos de Final'!O27,'Resultados Oficiales Octavos de'!$D$8,N27,'Resultados Oficiales Octavos de'!$F$8)</f>
        <v>1</v>
      </c>
      <c r="P27" s="4" t="str">
        <f>GANADOR_MARCADOR_POLLA('Pollas Octavos de Final'!R27,'Pollas Octavos de Final'!$R$2,'Pollas Octavos de Final'!S27,'Pollas Octavos de Final'!$S$2)</f>
        <v>EMPATE</v>
      </c>
      <c r="Q27" s="4">
        <f>PUNTAJE_GANADORES('Pollas Octavos de Final'!R27,'Resultados Oficiales Octavos de'!$C$9,'Pollas Octavos de Final'!S27,'Resultados Oficiales Octavos de'!$D$9,P27,'Resultados Oficiales Octavos de'!$F$9)</f>
        <v>1</v>
      </c>
      <c r="R27" s="4">
        <f t="shared" si="1"/>
        <v>16</v>
      </c>
    </row>
    <row r="28">
      <c r="A28" s="3" t="str">
        <f>'Pollas Octavos de Final'!C28</f>
        <v>Los Betancruz</v>
      </c>
      <c r="B28" s="4" t="str">
        <f>GANADOR_MARCADOR_POLLA('Pollas Octavos de Final'!D28,'Pollas Octavos de Final'!$D$2,'Pollas Octavos de Final'!E28,'Pollas Octavos de Final'!$E$2)</f>
        <v>Estados Unidos</v>
      </c>
      <c r="C28" s="4">
        <f>PUNTAJE_GANADORES('Pollas Octavos de Final'!D28,'Resultados Oficiales Octavos de'!$C$2,'Pollas Octavos de Final'!E28,'Resultados Oficiales Octavos de'!$D$2,B28,'Resultados Oficiales Octavos de'!$F$2)</f>
        <v>0</v>
      </c>
      <c r="D28" s="4" t="str">
        <f>GANADOR_MARCADOR_POLLA('Pollas Octavos de Final'!H28,'Pollas Octavos de Final'!$H$2,'Pollas Octavos de Final'!I28,'Pollas Octavos de Final'!$I$2)</f>
        <v>Argentina</v>
      </c>
      <c r="E28" s="4">
        <f>PUNTAJE_GANADORES('Pollas Octavos de Final'!H28,'Resultados Oficiales Octavos de'!$C$3,'Pollas Octavos de Final'!I28,'Resultados Oficiales Octavos de'!$D$3,D28,'Resultados Oficiales Octavos de'!$F$3)</f>
        <v>3</v>
      </c>
      <c r="F28" s="4" t="str">
        <f>GANADOR_MARCADOR_POLLA('Pollas Octavos de Final'!J28,'Pollas Octavos de Final'!$J$2,'Pollas Octavos de Final'!K28,'Pollas Octavos de Final'!$K$2)</f>
        <v>Francia</v>
      </c>
      <c r="G28" s="4">
        <f>PUNTAJE_GANADORES('Pollas Octavos de Final'!J28,'Resultados Oficiales Octavos de'!$C$4,'Pollas Octavos de Final'!K28,'Resultados Oficiales Octavos de'!$D$4,F28,'Resultados Oficiales Octavos de'!$F$4)</f>
        <v>3</v>
      </c>
      <c r="H28" s="4" t="str">
        <f>GANADOR_MARCADOR_POLLA('Pollas Octavos de Final'!F28,'Pollas Octavos de Final'!$F$2,'Pollas Octavos de Final'!G28,'Pollas Octavos de Final'!$G$2)</f>
        <v>Inglaterra</v>
      </c>
      <c r="I28" s="4">
        <f>PUNTAJE_GANADORES('Pollas Octavos de Final'!F28,'Resultados Oficiales Octavos de'!$C$5,'Pollas Octavos de Final'!G28,'Resultados Oficiales Octavos de'!$D$5,H28,'Resultados Oficiales Octavos de'!$F$5)</f>
        <v>3</v>
      </c>
      <c r="J28" s="4" t="str">
        <f>GANADOR_MARCADOR_POLLA('Pollas Octavos de Final'!L28,'Pollas Octavos de Final'!$L$2,'Pollas Octavos de Final'!M28,'Pollas Octavos de Final'!$M$2)</f>
        <v>Japón</v>
      </c>
      <c r="K28" s="4">
        <f>PUNTAJE_GANADORES('Pollas Octavos de Final'!L28,'Resultados Oficiales Octavos de'!$C$6,'Pollas Octavos de Final'!M28,'Resultados Oficiales Octavos de'!$D$6,J28,'Resultados Oficiales Octavos de'!$F$6)</f>
        <v>0</v>
      </c>
      <c r="L28" s="4" t="str">
        <f>GANADOR_MARCADOR_POLLA('Pollas Octavos de Final'!P28,'Pollas Octavos de Final'!$P$2,'Pollas Octavos de Final'!Q28,'Pollas Octavos de Final'!$Q$2)</f>
        <v>Brasil</v>
      </c>
      <c r="M28" s="4">
        <f>PUNTAJE_GANADORES('Pollas Octavos de Final'!P28,'Resultados Oficiales Octavos de'!$C$7,'Pollas Octavos de Final'!Q28,'Resultados Oficiales Octavos de'!$D$7,L28,'Resultados Oficiales Octavos de'!$F$7)</f>
        <v>2</v>
      </c>
      <c r="N28" s="4" t="str">
        <f>GANADOR_MARCADOR_POLLA('Pollas Octavos de Final'!N28,'Pollas Octavos de Final'!$N$2,'Pollas Octavos de Final'!O28,'Pollas Octavos de Final'!$O$2)</f>
        <v>EMPATE</v>
      </c>
      <c r="O28" s="4">
        <f>PUNTAJE_GANADORES('Pollas Octavos de Final'!N28,'Resultados Oficiales Octavos de'!$C$8,'Pollas Octavos de Final'!O28,'Resultados Oficiales Octavos de'!$D$8,N28,'Resultados Oficiales Octavos de'!$F$8)</f>
        <v>1</v>
      </c>
      <c r="P28" s="4" t="str">
        <f>GANADOR_MARCADOR_POLLA('Pollas Octavos de Final'!R28,'Pollas Octavos de Final'!$R$2,'Pollas Octavos de Final'!S28,'Pollas Octavos de Final'!$S$2)</f>
        <v>EMPATE</v>
      </c>
      <c r="Q28" s="4">
        <f>PUNTAJE_GANADORES('Pollas Octavos de Final'!R28,'Resultados Oficiales Octavos de'!$C$9,'Pollas Octavos de Final'!S28,'Resultados Oficiales Octavos de'!$D$9,P28,'Resultados Oficiales Octavos de'!$F$9)</f>
        <v>0</v>
      </c>
      <c r="R28" s="4">
        <f t="shared" si="1"/>
        <v>12</v>
      </c>
    </row>
    <row r="29">
      <c r="A29" s="3" t="str">
        <f>'Pollas Octavos de Final'!C29</f>
        <v>Luchismo</v>
      </c>
      <c r="B29" s="4" t="str">
        <f>GANADOR_MARCADOR_POLLA('Pollas Octavos de Final'!D29,'Pollas Octavos de Final'!$D$2,'Pollas Octavos de Final'!E29,'Pollas Octavos de Final'!$E$2)</f>
        <v>Paises Bajos</v>
      </c>
      <c r="C29" s="4">
        <f>PUNTAJE_GANADORES('Pollas Octavos de Final'!D29,'Resultados Oficiales Octavos de'!$C$2,'Pollas Octavos de Final'!E29,'Resultados Oficiales Octavos de'!$D$2,B29,'Resultados Oficiales Octavos de'!$F$2)</f>
        <v>3</v>
      </c>
      <c r="D29" s="4" t="str">
        <f>GANADOR_MARCADOR_POLLA('Pollas Octavos de Final'!H29,'Pollas Octavos de Final'!$H$2,'Pollas Octavos de Final'!I29,'Pollas Octavos de Final'!$I$2)</f>
        <v>Argentina</v>
      </c>
      <c r="E29" s="4">
        <f>PUNTAJE_GANADORES('Pollas Octavos de Final'!H29,'Resultados Oficiales Octavos de'!$C$3,'Pollas Octavos de Final'!I29,'Resultados Oficiales Octavos de'!$D$3,D29,'Resultados Oficiales Octavos de'!$F$3)</f>
        <v>3</v>
      </c>
      <c r="F29" s="4" t="str">
        <f>GANADOR_MARCADOR_POLLA('Pollas Octavos de Final'!J29,'Pollas Octavos de Final'!$J$2,'Pollas Octavos de Final'!K29,'Pollas Octavos de Final'!$K$2)</f>
        <v>Francia</v>
      </c>
      <c r="G29" s="4">
        <f>PUNTAJE_GANADORES('Pollas Octavos de Final'!J29,'Resultados Oficiales Octavos de'!$C$4,'Pollas Octavos de Final'!K29,'Resultados Oficiales Octavos de'!$D$4,F29,'Resultados Oficiales Octavos de'!$F$4)</f>
        <v>3</v>
      </c>
      <c r="H29" s="4" t="str">
        <f>GANADOR_MARCADOR_POLLA('Pollas Octavos de Final'!F29,'Pollas Octavos de Final'!$F$2,'Pollas Octavos de Final'!G29,'Pollas Octavos de Final'!$G$2)</f>
        <v>EMPATE</v>
      </c>
      <c r="I29" s="4">
        <f>PUNTAJE_GANADORES('Pollas Octavos de Final'!F29,'Resultados Oficiales Octavos de'!$C$5,'Pollas Octavos de Final'!G29,'Resultados Oficiales Octavos de'!$D$5,H29,'Resultados Oficiales Octavos de'!$F$5)</f>
        <v>0</v>
      </c>
      <c r="J29" s="4" t="str">
        <f>GANADOR_MARCADOR_POLLA('Pollas Octavos de Final'!L29,'Pollas Octavos de Final'!$L$2,'Pollas Octavos de Final'!M29,'Pollas Octavos de Final'!$M$2)</f>
        <v>Japón</v>
      </c>
      <c r="K29" s="4">
        <f>PUNTAJE_GANADORES('Pollas Octavos de Final'!L29,'Resultados Oficiales Octavos de'!$C$6,'Pollas Octavos de Final'!M29,'Resultados Oficiales Octavos de'!$D$6,J29,'Resultados Oficiales Octavos de'!$F$6)</f>
        <v>0</v>
      </c>
      <c r="L29" s="4" t="str">
        <f>GANADOR_MARCADOR_POLLA('Pollas Octavos de Final'!P29,'Pollas Octavos de Final'!$P$2,'Pollas Octavos de Final'!Q29,'Pollas Octavos de Final'!$Q$2)</f>
        <v>Brasil</v>
      </c>
      <c r="M29" s="4">
        <f>PUNTAJE_GANADORES('Pollas Octavos de Final'!P29,'Resultados Oficiales Octavos de'!$C$7,'Pollas Octavos de Final'!Q29,'Resultados Oficiales Octavos de'!$D$7,L29,'Resultados Oficiales Octavos de'!$F$7)</f>
        <v>3</v>
      </c>
      <c r="N29" s="4" t="str">
        <f>GANADOR_MARCADOR_POLLA('Pollas Octavos de Final'!N29,'Pollas Octavos de Final'!$N$2,'Pollas Octavos de Final'!O29,'Pollas Octavos de Final'!$O$2)</f>
        <v>España</v>
      </c>
      <c r="O29" s="4">
        <f>PUNTAJE_GANADORES('Pollas Octavos de Final'!N29,'Resultados Oficiales Octavos de'!$C$8,'Pollas Octavos de Final'!O29,'Resultados Oficiales Octavos de'!$D$8,N29,'Resultados Oficiales Octavos de'!$F$8)</f>
        <v>1</v>
      </c>
      <c r="P29" s="4" t="str">
        <f>GANADOR_MARCADOR_POLLA('Pollas Octavos de Final'!R29,'Pollas Octavos de Final'!$R$2,'Pollas Octavos de Final'!S29,'Pollas Octavos de Final'!$S$2)</f>
        <v>Portugal</v>
      </c>
      <c r="Q29" s="4">
        <f>PUNTAJE_GANADORES('Pollas Octavos de Final'!R29,'Resultados Oficiales Octavos de'!$C$9,'Pollas Octavos de Final'!S29,'Resultados Oficiales Octavos de'!$D$9,P29,'Resultados Oficiales Octavos de'!$F$9)</f>
        <v>2</v>
      </c>
      <c r="R29" s="4">
        <f t="shared" si="1"/>
        <v>15</v>
      </c>
    </row>
    <row r="30">
      <c r="A30" s="3" t="str">
        <f>'Pollas Octavos de Final'!C30</f>
        <v>Pascual</v>
      </c>
      <c r="B30" s="4" t="str">
        <f>GANADOR_MARCADOR_POLLA('Pollas Octavos de Final'!D30,'Pollas Octavos de Final'!$D$2,'Pollas Octavos de Final'!E30,'Pollas Octavos de Final'!$E$2)</f>
        <v>Estados Unidos</v>
      </c>
      <c r="C30" s="4">
        <f>PUNTAJE_GANADORES('Pollas Octavos de Final'!D30,'Resultados Oficiales Octavos de'!$C$2,'Pollas Octavos de Final'!E30,'Resultados Oficiales Octavos de'!$D$2,B30,'Resultados Oficiales Octavos de'!$F$2)</f>
        <v>0</v>
      </c>
      <c r="D30" s="4" t="str">
        <f>GANADOR_MARCADOR_POLLA('Pollas Octavos de Final'!H30,'Pollas Octavos de Final'!$H$2,'Pollas Octavos de Final'!I30,'Pollas Octavos de Final'!$I$2)</f>
        <v>Argentina</v>
      </c>
      <c r="E30" s="4">
        <f>PUNTAJE_GANADORES('Pollas Octavos de Final'!H30,'Resultados Oficiales Octavos de'!$C$3,'Pollas Octavos de Final'!I30,'Resultados Oficiales Octavos de'!$D$3,D30,'Resultados Oficiales Octavos de'!$F$3)</f>
        <v>2</v>
      </c>
      <c r="F30" s="4" t="str">
        <f>GANADOR_MARCADOR_POLLA('Pollas Octavos de Final'!J30,'Pollas Octavos de Final'!$J$2,'Pollas Octavos de Final'!K30,'Pollas Octavos de Final'!$K$2)</f>
        <v>Francia</v>
      </c>
      <c r="G30" s="4">
        <f>PUNTAJE_GANADORES('Pollas Octavos de Final'!J30,'Resultados Oficiales Octavos de'!$C$4,'Pollas Octavos de Final'!K30,'Resultados Oficiales Octavos de'!$D$4,F30,'Resultados Oficiales Octavos de'!$F$4)</f>
        <v>3</v>
      </c>
      <c r="H30" s="4" t="str">
        <f>GANADOR_MARCADOR_POLLA('Pollas Octavos de Final'!F30,'Pollas Octavos de Final'!$F$2,'Pollas Octavos de Final'!G30,'Pollas Octavos de Final'!$G$2)</f>
        <v>Inglaterra</v>
      </c>
      <c r="I30" s="4">
        <f>PUNTAJE_GANADORES('Pollas Octavos de Final'!F30,'Resultados Oficiales Octavos de'!$C$5,'Pollas Octavos de Final'!G30,'Resultados Oficiales Octavos de'!$D$5,H30,'Resultados Oficiales Octavos de'!$F$5)</f>
        <v>5</v>
      </c>
      <c r="J30" s="4" t="str">
        <f>GANADOR_MARCADOR_POLLA('Pollas Octavos de Final'!L30,'Pollas Octavos de Final'!$L$2,'Pollas Octavos de Final'!M30,'Pollas Octavos de Final'!$M$2)</f>
        <v>Croacia</v>
      </c>
      <c r="K30" s="4">
        <f>PUNTAJE_GANADORES('Pollas Octavos de Final'!L30,'Resultados Oficiales Octavos de'!$C$6,'Pollas Octavos de Final'!M30,'Resultados Oficiales Octavos de'!$D$6,J30,'Resultados Oficiales Octavos de'!$F$6)</f>
        <v>1</v>
      </c>
      <c r="L30" s="4" t="str">
        <f>GANADOR_MARCADOR_POLLA('Pollas Octavos de Final'!P30,'Pollas Octavos de Final'!$P$2,'Pollas Octavos de Final'!Q30,'Pollas Octavos de Final'!$Q$2)</f>
        <v>Brasil</v>
      </c>
      <c r="M30" s="4">
        <f>PUNTAJE_GANADORES('Pollas Octavos de Final'!P30,'Resultados Oficiales Octavos de'!$C$7,'Pollas Octavos de Final'!Q30,'Resultados Oficiales Octavos de'!$D$7,L30,'Resultados Oficiales Octavos de'!$F$7)</f>
        <v>2</v>
      </c>
      <c r="N30" s="4" t="str">
        <f>GANADOR_MARCADOR_POLLA('Pollas Octavos de Final'!N30,'Pollas Octavos de Final'!$N$2,'Pollas Octavos de Final'!O30,'Pollas Octavos de Final'!$O$2)</f>
        <v>España</v>
      </c>
      <c r="O30" s="4">
        <f>PUNTAJE_GANADORES('Pollas Octavos de Final'!N30,'Resultados Oficiales Octavos de'!$C$8,'Pollas Octavos de Final'!O30,'Resultados Oficiales Octavos de'!$D$8,N30,'Resultados Oficiales Octavos de'!$F$8)</f>
        <v>1</v>
      </c>
      <c r="P30" s="4" t="str">
        <f>GANADOR_MARCADOR_POLLA('Pollas Octavos de Final'!R30,'Pollas Octavos de Final'!$R$2,'Pollas Octavos de Final'!S30,'Pollas Octavos de Final'!$S$2)</f>
        <v>Portugal</v>
      </c>
      <c r="Q30" s="4">
        <f>PUNTAJE_GANADORES('Pollas Octavos de Final'!R30,'Resultados Oficiales Octavos de'!$C$9,'Pollas Octavos de Final'!S30,'Resultados Oficiales Octavos de'!$D$9,P30,'Resultados Oficiales Octavos de'!$F$9)</f>
        <v>3</v>
      </c>
      <c r="R30" s="4">
        <f t="shared" si="1"/>
        <v>17</v>
      </c>
    </row>
    <row r="31">
      <c r="A31" s="3" t="str">
        <f>'Pollas Octavos de Final'!C31</f>
        <v>El cuculeito del balon</v>
      </c>
      <c r="B31" s="4" t="str">
        <f>GANADOR_MARCADOR_POLLA('Pollas Octavos de Final'!D31,'Pollas Octavos de Final'!$D$2,'Pollas Octavos de Final'!E31,'Pollas Octavos de Final'!$E$2)</f>
        <v>Paises Bajos</v>
      </c>
      <c r="C31" s="4">
        <f>PUNTAJE_GANADORES('Pollas Octavos de Final'!D31,'Resultados Oficiales Octavos de'!$C$2,'Pollas Octavos de Final'!E31,'Resultados Oficiales Octavos de'!$D$2,B31,'Resultados Oficiales Octavos de'!$F$2)</f>
        <v>2</v>
      </c>
      <c r="D31" s="4" t="str">
        <f>GANADOR_MARCADOR_POLLA('Pollas Octavos de Final'!H31,'Pollas Octavos de Final'!$H$2,'Pollas Octavos de Final'!I31,'Pollas Octavos de Final'!$I$2)</f>
        <v>Argentina</v>
      </c>
      <c r="E31" s="4">
        <f>PUNTAJE_GANADORES('Pollas Octavos de Final'!H31,'Resultados Oficiales Octavos de'!$C$3,'Pollas Octavos de Final'!I31,'Resultados Oficiales Octavos de'!$D$3,D31,'Resultados Oficiales Octavos de'!$F$3)</f>
        <v>3</v>
      </c>
      <c r="F31" s="4" t="str">
        <f>GANADOR_MARCADOR_POLLA('Pollas Octavos de Final'!J31,'Pollas Octavos de Final'!$J$2,'Pollas Octavos de Final'!K31,'Pollas Octavos de Final'!$K$2)</f>
        <v>Francia</v>
      </c>
      <c r="G31" s="4">
        <f>PUNTAJE_GANADORES('Pollas Octavos de Final'!J31,'Resultados Oficiales Octavos de'!$C$4,'Pollas Octavos de Final'!K31,'Resultados Oficiales Octavos de'!$D$4,F31,'Resultados Oficiales Octavos de'!$F$4)</f>
        <v>2</v>
      </c>
      <c r="H31" s="4" t="str">
        <f>GANADOR_MARCADOR_POLLA('Pollas Octavos de Final'!F31,'Pollas Octavos de Final'!$F$2,'Pollas Octavos de Final'!G31,'Pollas Octavos de Final'!$G$2)</f>
        <v>Inglaterra</v>
      </c>
      <c r="I31" s="4">
        <f>PUNTAJE_GANADORES('Pollas Octavos de Final'!F31,'Resultados Oficiales Octavos de'!$C$5,'Pollas Octavos de Final'!G31,'Resultados Oficiales Octavos de'!$D$5,H31,'Resultados Oficiales Octavos de'!$F$5)</f>
        <v>2</v>
      </c>
      <c r="J31" s="4" t="str">
        <f>GANADOR_MARCADOR_POLLA('Pollas Octavos de Final'!L31,'Pollas Octavos de Final'!$L$2,'Pollas Octavos de Final'!M31,'Pollas Octavos de Final'!$M$2)</f>
        <v>Croacia</v>
      </c>
      <c r="K31" s="4">
        <f>PUNTAJE_GANADORES('Pollas Octavos de Final'!L31,'Resultados Oficiales Octavos de'!$C$6,'Pollas Octavos de Final'!M31,'Resultados Oficiales Octavos de'!$D$6,J31,'Resultados Oficiales Octavos de'!$F$6)</f>
        <v>1</v>
      </c>
      <c r="L31" s="4" t="str">
        <f>GANADOR_MARCADOR_POLLA('Pollas Octavos de Final'!P31,'Pollas Octavos de Final'!$P$2,'Pollas Octavos de Final'!Q31,'Pollas Octavos de Final'!$Q$2)</f>
        <v>Brasil</v>
      </c>
      <c r="M31" s="4">
        <f>PUNTAJE_GANADORES('Pollas Octavos de Final'!P31,'Resultados Oficiales Octavos de'!$C$7,'Pollas Octavos de Final'!Q31,'Resultados Oficiales Octavos de'!$D$7,L31,'Resultados Oficiales Octavos de'!$F$7)</f>
        <v>2</v>
      </c>
      <c r="N31" s="4" t="str">
        <f>GANADOR_MARCADOR_POLLA('Pollas Octavos de Final'!N31,'Pollas Octavos de Final'!$N$2,'Pollas Octavos de Final'!O31,'Pollas Octavos de Final'!$O$2)</f>
        <v>España</v>
      </c>
      <c r="O31" s="4">
        <f>PUNTAJE_GANADORES('Pollas Octavos de Final'!N31,'Resultados Oficiales Octavos de'!$C$8,'Pollas Octavos de Final'!O31,'Resultados Oficiales Octavos de'!$D$8,N31,'Resultados Oficiales Octavos de'!$F$8)</f>
        <v>1</v>
      </c>
      <c r="P31" s="4" t="str">
        <f>GANADOR_MARCADOR_POLLA('Pollas Octavos de Final'!R31,'Pollas Octavos de Final'!$R$2,'Pollas Octavos de Final'!S31,'Pollas Octavos de Final'!$S$2)</f>
        <v>Portugal</v>
      </c>
      <c r="Q31" s="4">
        <f>PUNTAJE_GANADORES('Pollas Octavos de Final'!R31,'Resultados Oficiales Octavos de'!$C$9,'Pollas Octavos de Final'!S31,'Resultados Oficiales Octavos de'!$D$9,P31,'Resultados Oficiales Octavos de'!$F$9)</f>
        <v>2</v>
      </c>
      <c r="R31" s="4">
        <f t="shared" si="1"/>
        <v>15</v>
      </c>
    </row>
    <row r="32">
      <c r="R32" s="4"/>
    </row>
    <row r="33">
      <c r="R33" s="4"/>
    </row>
    <row r="34">
      <c r="R34" s="4"/>
    </row>
    <row r="35">
      <c r="R35" s="4"/>
    </row>
    <row r="36">
      <c r="R36" s="4"/>
    </row>
    <row r="37">
      <c r="R37" s="4"/>
    </row>
    <row r="38">
      <c r="R38" s="4"/>
    </row>
    <row r="39">
      <c r="R39" s="4"/>
    </row>
    <row r="40">
      <c r="R40" s="4"/>
    </row>
    <row r="41">
      <c r="R41" s="4"/>
    </row>
    <row r="42">
      <c r="R42" s="4"/>
    </row>
    <row r="43">
      <c r="R43" s="4"/>
    </row>
    <row r="44">
      <c r="R44" s="4"/>
    </row>
    <row r="45">
      <c r="R45" s="4"/>
    </row>
    <row r="46">
      <c r="R46" s="4"/>
    </row>
    <row r="47">
      <c r="R47" s="4"/>
    </row>
    <row r="48">
      <c r="R48" s="4"/>
    </row>
    <row r="49">
      <c r="R49" s="4"/>
    </row>
    <row r="50">
      <c r="R50" s="4"/>
    </row>
    <row r="51">
      <c r="R51" s="4"/>
    </row>
    <row r="52">
      <c r="R52" s="4"/>
    </row>
    <row r="53">
      <c r="R53" s="4"/>
    </row>
    <row r="54">
      <c r="R54" s="4"/>
    </row>
    <row r="55">
      <c r="R55" s="4"/>
    </row>
    <row r="56">
      <c r="R56" s="4"/>
    </row>
    <row r="57">
      <c r="R57" s="4"/>
    </row>
    <row r="58">
      <c r="R58" s="4"/>
    </row>
    <row r="59">
      <c r="R59" s="4"/>
    </row>
    <row r="60">
      <c r="R60" s="4"/>
    </row>
    <row r="61">
      <c r="R61" s="4"/>
    </row>
    <row r="62">
      <c r="R62" s="4"/>
    </row>
    <row r="63">
      <c r="R63" s="4"/>
    </row>
    <row r="64">
      <c r="R64" s="4"/>
    </row>
    <row r="65">
      <c r="R65" s="4"/>
    </row>
    <row r="66">
      <c r="R66" s="4"/>
    </row>
    <row r="67">
      <c r="R67" s="4"/>
    </row>
    <row r="68">
      <c r="R68" s="4"/>
    </row>
    <row r="69">
      <c r="R69" s="4"/>
    </row>
    <row r="70">
      <c r="R70" s="4"/>
    </row>
    <row r="71">
      <c r="R71" s="4"/>
    </row>
    <row r="72">
      <c r="R72" s="4"/>
    </row>
    <row r="73">
      <c r="R73" s="4"/>
    </row>
    <row r="74">
      <c r="R74" s="4"/>
    </row>
    <row r="75">
      <c r="R75" s="4"/>
    </row>
    <row r="76">
      <c r="R76" s="4"/>
    </row>
    <row r="77">
      <c r="R77" s="4"/>
    </row>
    <row r="78">
      <c r="R78" s="4"/>
    </row>
    <row r="79">
      <c r="R79" s="4"/>
    </row>
    <row r="80">
      <c r="R80" s="4"/>
    </row>
    <row r="81">
      <c r="R81" s="4"/>
    </row>
    <row r="82">
      <c r="R82" s="4"/>
    </row>
    <row r="83">
      <c r="R83" s="4"/>
    </row>
    <row r="84">
      <c r="R84" s="4"/>
    </row>
    <row r="85">
      <c r="R85" s="4"/>
    </row>
    <row r="86">
      <c r="R86" s="4"/>
    </row>
    <row r="87">
      <c r="R87" s="4"/>
    </row>
    <row r="88">
      <c r="R88" s="4"/>
    </row>
    <row r="89">
      <c r="R89" s="4"/>
    </row>
    <row r="90">
      <c r="R90" s="4"/>
    </row>
    <row r="91">
      <c r="R91" s="4"/>
    </row>
    <row r="92">
      <c r="R92" s="4"/>
    </row>
    <row r="93">
      <c r="R93" s="4"/>
    </row>
    <row r="94">
      <c r="R94" s="4"/>
    </row>
    <row r="95">
      <c r="R95" s="4"/>
    </row>
    <row r="96">
      <c r="R96" s="4"/>
    </row>
    <row r="97">
      <c r="R97" s="4"/>
    </row>
    <row r="98">
      <c r="R98" s="4"/>
    </row>
    <row r="99">
      <c r="R99" s="4"/>
    </row>
    <row r="100">
      <c r="R100" s="4"/>
    </row>
    <row r="101">
      <c r="R101" s="4"/>
    </row>
    <row r="102">
      <c r="R102" s="4"/>
    </row>
    <row r="103">
      <c r="R103" s="4"/>
    </row>
    <row r="104">
      <c r="R104" s="4"/>
    </row>
    <row r="105">
      <c r="R105" s="4"/>
    </row>
    <row r="106">
      <c r="R106" s="4"/>
    </row>
    <row r="107">
      <c r="R107" s="4"/>
    </row>
    <row r="108">
      <c r="R108" s="4"/>
    </row>
    <row r="109">
      <c r="R109" s="4"/>
    </row>
    <row r="110">
      <c r="R110" s="4"/>
    </row>
    <row r="111">
      <c r="R111" s="4"/>
    </row>
    <row r="112">
      <c r="R112" s="4"/>
    </row>
    <row r="113">
      <c r="R113" s="4"/>
    </row>
    <row r="114">
      <c r="R114" s="4"/>
    </row>
    <row r="115">
      <c r="R115" s="4"/>
    </row>
    <row r="116">
      <c r="R116" s="4"/>
    </row>
    <row r="117">
      <c r="R117" s="4"/>
    </row>
    <row r="118">
      <c r="R118" s="4"/>
    </row>
    <row r="119">
      <c r="R119" s="4"/>
    </row>
    <row r="120">
      <c r="R120" s="4"/>
    </row>
    <row r="121">
      <c r="R121" s="4"/>
    </row>
    <row r="122">
      <c r="R122" s="4"/>
    </row>
    <row r="123">
      <c r="R123" s="4"/>
    </row>
    <row r="124">
      <c r="R124" s="4"/>
    </row>
    <row r="125">
      <c r="R125" s="4"/>
    </row>
    <row r="126">
      <c r="R126" s="4"/>
    </row>
    <row r="127">
      <c r="R127" s="4"/>
    </row>
    <row r="128">
      <c r="R128" s="4"/>
    </row>
    <row r="129">
      <c r="R129" s="4"/>
    </row>
    <row r="130">
      <c r="R130" s="4"/>
    </row>
    <row r="131">
      <c r="R131" s="4"/>
    </row>
    <row r="132">
      <c r="R132" s="4"/>
    </row>
    <row r="133">
      <c r="R133" s="4"/>
    </row>
    <row r="134">
      <c r="R134" s="4"/>
    </row>
    <row r="135">
      <c r="R135" s="4"/>
    </row>
    <row r="136">
      <c r="R136" s="4"/>
    </row>
    <row r="137">
      <c r="R137" s="4"/>
    </row>
    <row r="138">
      <c r="R138" s="4"/>
    </row>
    <row r="139">
      <c r="R139" s="4"/>
    </row>
    <row r="140">
      <c r="R140" s="4"/>
    </row>
    <row r="141">
      <c r="R141" s="4"/>
    </row>
    <row r="142">
      <c r="R142" s="4"/>
    </row>
    <row r="143">
      <c r="R143" s="4"/>
    </row>
    <row r="144">
      <c r="R144" s="4"/>
    </row>
    <row r="145">
      <c r="R145" s="4"/>
    </row>
    <row r="146">
      <c r="R146" s="4"/>
    </row>
    <row r="147">
      <c r="R147" s="4"/>
    </row>
    <row r="148">
      <c r="R148" s="4"/>
    </row>
    <row r="149">
      <c r="R149" s="4"/>
    </row>
    <row r="150">
      <c r="R150" s="4"/>
    </row>
    <row r="151">
      <c r="R151" s="4"/>
    </row>
    <row r="152">
      <c r="R152" s="4"/>
    </row>
    <row r="153">
      <c r="R153" s="4"/>
    </row>
    <row r="154">
      <c r="R154" s="4"/>
    </row>
    <row r="155">
      <c r="R155" s="4"/>
    </row>
    <row r="156">
      <c r="R156" s="4"/>
    </row>
    <row r="157">
      <c r="R157" s="4"/>
    </row>
    <row r="158">
      <c r="R158" s="4"/>
    </row>
    <row r="159">
      <c r="R159" s="4"/>
    </row>
    <row r="160">
      <c r="R160" s="4"/>
    </row>
    <row r="161">
      <c r="R161" s="4"/>
    </row>
    <row r="162">
      <c r="R162" s="4"/>
    </row>
    <row r="163">
      <c r="R163" s="4"/>
    </row>
    <row r="164">
      <c r="R164" s="4"/>
    </row>
    <row r="165">
      <c r="R165" s="4"/>
    </row>
    <row r="166">
      <c r="R166" s="4"/>
    </row>
    <row r="167">
      <c r="R167" s="4"/>
    </row>
    <row r="168">
      <c r="R168" s="4"/>
    </row>
    <row r="169">
      <c r="R169" s="4"/>
    </row>
    <row r="170">
      <c r="R170" s="4"/>
    </row>
    <row r="171">
      <c r="R171" s="4"/>
    </row>
    <row r="172">
      <c r="R172" s="4"/>
    </row>
    <row r="173">
      <c r="R173" s="4"/>
    </row>
    <row r="174">
      <c r="R174" s="4"/>
    </row>
    <row r="175">
      <c r="R175" s="4"/>
    </row>
    <row r="176">
      <c r="R176" s="4"/>
    </row>
    <row r="177">
      <c r="R177" s="4"/>
    </row>
    <row r="178">
      <c r="R178" s="4"/>
    </row>
    <row r="179">
      <c r="R179" s="4"/>
    </row>
    <row r="180">
      <c r="R180" s="4"/>
    </row>
    <row r="181">
      <c r="R181" s="4"/>
    </row>
    <row r="182">
      <c r="R182" s="4"/>
    </row>
    <row r="183">
      <c r="R183" s="4"/>
    </row>
    <row r="184">
      <c r="R184" s="4"/>
    </row>
    <row r="185">
      <c r="R185" s="4"/>
    </row>
    <row r="186">
      <c r="R186" s="4"/>
    </row>
    <row r="187">
      <c r="R187" s="4"/>
    </row>
    <row r="188">
      <c r="R188" s="4"/>
    </row>
    <row r="189">
      <c r="R189" s="4"/>
    </row>
    <row r="190">
      <c r="R190" s="4"/>
    </row>
    <row r="191">
      <c r="R191" s="4"/>
    </row>
    <row r="192">
      <c r="R192" s="4"/>
    </row>
    <row r="193">
      <c r="R193" s="4"/>
    </row>
    <row r="194">
      <c r="R194" s="4"/>
    </row>
    <row r="195">
      <c r="R195" s="4"/>
    </row>
    <row r="196">
      <c r="R196" s="4"/>
    </row>
    <row r="197">
      <c r="R197" s="4"/>
    </row>
    <row r="198">
      <c r="R198" s="4"/>
    </row>
    <row r="199">
      <c r="R199" s="4"/>
    </row>
    <row r="200">
      <c r="R200" s="4"/>
    </row>
    <row r="201">
      <c r="R201" s="4"/>
    </row>
    <row r="202">
      <c r="R202" s="4"/>
    </row>
    <row r="203">
      <c r="R203" s="4"/>
    </row>
    <row r="204">
      <c r="R204" s="4"/>
    </row>
    <row r="205">
      <c r="R205" s="4"/>
    </row>
    <row r="206">
      <c r="R206" s="4"/>
    </row>
    <row r="207">
      <c r="R207" s="4"/>
    </row>
    <row r="208">
      <c r="R208" s="4"/>
    </row>
    <row r="209">
      <c r="R209" s="4"/>
    </row>
    <row r="210">
      <c r="R210" s="4"/>
    </row>
    <row r="211">
      <c r="R211" s="4"/>
    </row>
    <row r="212">
      <c r="R212" s="4"/>
    </row>
    <row r="213">
      <c r="R213" s="4"/>
    </row>
    <row r="214">
      <c r="R214" s="4"/>
    </row>
    <row r="215">
      <c r="R215" s="4"/>
    </row>
    <row r="216">
      <c r="R216" s="4"/>
    </row>
    <row r="217">
      <c r="R217" s="4"/>
    </row>
    <row r="218">
      <c r="R218" s="4"/>
    </row>
    <row r="219">
      <c r="R219" s="4"/>
    </row>
    <row r="220">
      <c r="R220" s="4"/>
    </row>
    <row r="221">
      <c r="R221" s="4"/>
    </row>
    <row r="222">
      <c r="R222" s="4"/>
    </row>
    <row r="223">
      <c r="R223" s="4"/>
    </row>
    <row r="224">
      <c r="R224" s="4"/>
    </row>
    <row r="225">
      <c r="R225" s="4"/>
    </row>
    <row r="226">
      <c r="R226" s="4"/>
    </row>
    <row r="227">
      <c r="R227" s="4"/>
    </row>
    <row r="228">
      <c r="R228" s="4"/>
    </row>
    <row r="229">
      <c r="R229" s="4"/>
    </row>
    <row r="230">
      <c r="R230" s="4"/>
    </row>
    <row r="231">
      <c r="R231" s="4"/>
    </row>
    <row r="232">
      <c r="R232" s="4"/>
    </row>
    <row r="233">
      <c r="R233" s="4"/>
    </row>
    <row r="234">
      <c r="R234" s="4"/>
    </row>
    <row r="235">
      <c r="R235" s="4"/>
    </row>
    <row r="236">
      <c r="R236" s="4"/>
    </row>
    <row r="237">
      <c r="R237" s="4"/>
    </row>
    <row r="238">
      <c r="R238" s="4"/>
    </row>
    <row r="239">
      <c r="R239" s="4"/>
    </row>
    <row r="240">
      <c r="R240" s="4"/>
    </row>
    <row r="241">
      <c r="R241" s="4"/>
    </row>
    <row r="242">
      <c r="R242" s="4"/>
    </row>
    <row r="243">
      <c r="R243" s="4"/>
    </row>
    <row r="244">
      <c r="R244" s="4"/>
    </row>
    <row r="245">
      <c r="R245" s="4"/>
    </row>
    <row r="246">
      <c r="R246" s="4"/>
    </row>
    <row r="247">
      <c r="R247" s="4"/>
    </row>
    <row r="248">
      <c r="R248" s="4"/>
    </row>
    <row r="249">
      <c r="R249" s="4"/>
    </row>
    <row r="250">
      <c r="R250" s="4"/>
    </row>
    <row r="251">
      <c r="R251" s="4"/>
    </row>
    <row r="252">
      <c r="R252" s="4"/>
    </row>
    <row r="253">
      <c r="R253" s="4"/>
    </row>
    <row r="254">
      <c r="R254" s="4"/>
    </row>
    <row r="255">
      <c r="R255" s="4"/>
    </row>
    <row r="256">
      <c r="R256" s="4"/>
    </row>
    <row r="257">
      <c r="R257" s="4"/>
    </row>
    <row r="258">
      <c r="R258" s="4"/>
    </row>
    <row r="259">
      <c r="R259" s="4"/>
    </row>
    <row r="260">
      <c r="R260" s="4"/>
    </row>
    <row r="261">
      <c r="R261" s="4"/>
    </row>
    <row r="262">
      <c r="R262" s="4"/>
    </row>
    <row r="263">
      <c r="R263" s="4"/>
    </row>
    <row r="264">
      <c r="R264" s="4"/>
    </row>
    <row r="265">
      <c r="R265" s="4"/>
    </row>
    <row r="266">
      <c r="R266" s="4"/>
    </row>
    <row r="267">
      <c r="R267" s="4"/>
    </row>
    <row r="268">
      <c r="R268" s="4"/>
    </row>
    <row r="269">
      <c r="R269" s="4"/>
    </row>
    <row r="270">
      <c r="R270" s="4"/>
    </row>
    <row r="271">
      <c r="R271" s="4"/>
    </row>
    <row r="272">
      <c r="R272" s="4"/>
    </row>
    <row r="273">
      <c r="R273" s="4"/>
    </row>
    <row r="274">
      <c r="R274" s="4"/>
    </row>
    <row r="275">
      <c r="R275" s="4"/>
    </row>
    <row r="276">
      <c r="R276" s="4"/>
    </row>
    <row r="277">
      <c r="R277" s="4"/>
    </row>
    <row r="278">
      <c r="R278" s="4"/>
    </row>
    <row r="279">
      <c r="R279" s="4"/>
    </row>
    <row r="280">
      <c r="R280" s="4"/>
    </row>
    <row r="281">
      <c r="R281" s="4"/>
    </row>
    <row r="282">
      <c r="R282" s="4"/>
    </row>
    <row r="283">
      <c r="R283" s="4"/>
    </row>
    <row r="284">
      <c r="R284" s="4"/>
    </row>
    <row r="285">
      <c r="R285" s="4"/>
    </row>
    <row r="286">
      <c r="R286" s="4"/>
    </row>
    <row r="287">
      <c r="R287" s="4"/>
    </row>
    <row r="288">
      <c r="R288" s="4"/>
    </row>
    <row r="289">
      <c r="R289" s="4"/>
    </row>
    <row r="290">
      <c r="R290" s="4"/>
    </row>
    <row r="291">
      <c r="R291" s="4"/>
    </row>
    <row r="292">
      <c r="R292" s="4"/>
    </row>
    <row r="293">
      <c r="R293" s="4"/>
    </row>
    <row r="294">
      <c r="R294" s="4"/>
    </row>
    <row r="295">
      <c r="R295" s="4"/>
    </row>
    <row r="296">
      <c r="R296" s="4"/>
    </row>
    <row r="297">
      <c r="R297" s="4"/>
    </row>
    <row r="298">
      <c r="R298" s="4"/>
    </row>
    <row r="299">
      <c r="R299" s="4"/>
    </row>
    <row r="300">
      <c r="R300" s="4"/>
    </row>
    <row r="301">
      <c r="R301" s="4"/>
    </row>
    <row r="302">
      <c r="R302" s="4"/>
    </row>
    <row r="303">
      <c r="R303" s="4"/>
    </row>
    <row r="304">
      <c r="R304" s="4"/>
    </row>
    <row r="305">
      <c r="R305" s="4"/>
    </row>
    <row r="306">
      <c r="R306" s="4"/>
    </row>
    <row r="307">
      <c r="R307" s="4"/>
    </row>
    <row r="308">
      <c r="R308" s="4"/>
    </row>
    <row r="309">
      <c r="R309" s="4"/>
    </row>
    <row r="310">
      <c r="R310" s="4"/>
    </row>
    <row r="311">
      <c r="R311" s="4"/>
    </row>
    <row r="312">
      <c r="R312" s="4"/>
    </row>
    <row r="313">
      <c r="R313" s="4"/>
    </row>
    <row r="314">
      <c r="R314" s="4"/>
    </row>
    <row r="315">
      <c r="R315" s="4"/>
    </row>
    <row r="316">
      <c r="R316" s="4"/>
    </row>
    <row r="317">
      <c r="R317" s="4"/>
    </row>
    <row r="318">
      <c r="R318" s="4"/>
    </row>
    <row r="319">
      <c r="R319" s="4"/>
    </row>
    <row r="320">
      <c r="R320" s="4"/>
    </row>
    <row r="321">
      <c r="R321" s="4"/>
    </row>
    <row r="322">
      <c r="R322" s="4"/>
    </row>
    <row r="323">
      <c r="R323" s="4"/>
    </row>
    <row r="324">
      <c r="R324" s="4"/>
    </row>
    <row r="325">
      <c r="R325" s="4"/>
    </row>
    <row r="326">
      <c r="R326" s="4"/>
    </row>
    <row r="327">
      <c r="R327" s="4"/>
    </row>
    <row r="328">
      <c r="R328" s="4"/>
    </row>
    <row r="329">
      <c r="R329" s="4"/>
    </row>
    <row r="330">
      <c r="R330" s="4"/>
    </row>
    <row r="331">
      <c r="R331" s="4"/>
    </row>
    <row r="332">
      <c r="R332" s="4"/>
    </row>
    <row r="333">
      <c r="R333" s="4"/>
    </row>
    <row r="334">
      <c r="R334" s="4"/>
    </row>
    <row r="335">
      <c r="R335" s="4"/>
    </row>
    <row r="336">
      <c r="R336" s="4"/>
    </row>
    <row r="337">
      <c r="R337" s="4"/>
    </row>
    <row r="338">
      <c r="R338" s="4"/>
    </row>
    <row r="339">
      <c r="R339" s="4"/>
    </row>
    <row r="340">
      <c r="R340" s="4"/>
    </row>
    <row r="341">
      <c r="R341" s="4"/>
    </row>
    <row r="342">
      <c r="R342" s="4"/>
    </row>
    <row r="343">
      <c r="R343" s="4"/>
    </row>
    <row r="344">
      <c r="R344" s="4"/>
    </row>
    <row r="345">
      <c r="R345" s="4"/>
    </row>
    <row r="346">
      <c r="R346" s="4"/>
    </row>
    <row r="347">
      <c r="R347" s="4"/>
    </row>
    <row r="348">
      <c r="R348" s="4"/>
    </row>
    <row r="349">
      <c r="R349" s="4"/>
    </row>
    <row r="350">
      <c r="R350" s="4"/>
    </row>
    <row r="351">
      <c r="R351" s="4"/>
    </row>
    <row r="352">
      <c r="R352" s="4"/>
    </row>
    <row r="353">
      <c r="R353" s="4"/>
    </row>
    <row r="354">
      <c r="R354" s="4"/>
    </row>
    <row r="355">
      <c r="R355" s="4"/>
    </row>
    <row r="356">
      <c r="R356" s="4"/>
    </row>
    <row r="357">
      <c r="R357" s="4"/>
    </row>
    <row r="358">
      <c r="R358" s="4"/>
    </row>
    <row r="359">
      <c r="R359" s="4"/>
    </row>
    <row r="360">
      <c r="R360" s="4"/>
    </row>
    <row r="361">
      <c r="R361" s="4"/>
    </row>
    <row r="362">
      <c r="R362" s="4"/>
    </row>
    <row r="363">
      <c r="R363" s="4"/>
    </row>
    <row r="364">
      <c r="R364" s="4"/>
    </row>
    <row r="365">
      <c r="R365" s="4"/>
    </row>
    <row r="366">
      <c r="R366" s="4"/>
    </row>
    <row r="367">
      <c r="R367" s="4"/>
    </row>
    <row r="368">
      <c r="R368" s="4"/>
    </row>
    <row r="369">
      <c r="R369" s="4"/>
    </row>
    <row r="370">
      <c r="R370" s="4"/>
    </row>
    <row r="371">
      <c r="R371" s="4"/>
    </row>
    <row r="372">
      <c r="R372" s="4"/>
    </row>
    <row r="373">
      <c r="R373" s="4"/>
    </row>
    <row r="374">
      <c r="R374" s="4"/>
    </row>
    <row r="375">
      <c r="R375" s="4"/>
    </row>
    <row r="376">
      <c r="R376" s="4"/>
    </row>
    <row r="377">
      <c r="R377" s="4"/>
    </row>
    <row r="378">
      <c r="R378" s="4"/>
    </row>
    <row r="379">
      <c r="R379" s="4"/>
    </row>
    <row r="380">
      <c r="R380" s="4"/>
    </row>
    <row r="381">
      <c r="R381" s="4"/>
    </row>
    <row r="382">
      <c r="R382" s="4"/>
    </row>
    <row r="383">
      <c r="R383" s="4"/>
    </row>
    <row r="384">
      <c r="R384" s="4"/>
    </row>
    <row r="385">
      <c r="R385" s="4"/>
    </row>
    <row r="386">
      <c r="R386" s="4"/>
    </row>
    <row r="387">
      <c r="R387" s="4"/>
    </row>
    <row r="388">
      <c r="R388" s="4"/>
    </row>
    <row r="389">
      <c r="R389" s="4"/>
    </row>
    <row r="390">
      <c r="R390" s="4"/>
    </row>
    <row r="391">
      <c r="R391" s="4"/>
    </row>
    <row r="392">
      <c r="R392" s="4"/>
    </row>
    <row r="393">
      <c r="R393" s="4"/>
    </row>
    <row r="394">
      <c r="R394" s="4"/>
    </row>
    <row r="395">
      <c r="R395" s="4"/>
    </row>
    <row r="396">
      <c r="R396" s="4"/>
    </row>
    <row r="397">
      <c r="R397" s="4"/>
    </row>
    <row r="398">
      <c r="R398" s="4"/>
    </row>
    <row r="399">
      <c r="R399" s="4"/>
    </row>
    <row r="400">
      <c r="R400" s="4"/>
    </row>
    <row r="401">
      <c r="R401" s="4"/>
    </row>
    <row r="402">
      <c r="R402" s="4"/>
    </row>
    <row r="403">
      <c r="R403" s="4"/>
    </row>
    <row r="404">
      <c r="R404" s="4"/>
    </row>
    <row r="405">
      <c r="R405" s="4"/>
    </row>
    <row r="406">
      <c r="R406" s="4"/>
    </row>
    <row r="407">
      <c r="R407" s="4"/>
    </row>
    <row r="408">
      <c r="R408" s="4"/>
    </row>
    <row r="409">
      <c r="R409" s="4"/>
    </row>
    <row r="410">
      <c r="R410" s="4"/>
    </row>
    <row r="411">
      <c r="R411" s="4"/>
    </row>
    <row r="412">
      <c r="R412" s="4"/>
    </row>
    <row r="413">
      <c r="R413" s="4"/>
    </row>
    <row r="414">
      <c r="R414" s="4"/>
    </row>
    <row r="415">
      <c r="R415" s="4"/>
    </row>
    <row r="416">
      <c r="R416" s="4"/>
    </row>
    <row r="417">
      <c r="R417" s="4"/>
    </row>
    <row r="418">
      <c r="R418" s="4"/>
    </row>
    <row r="419">
      <c r="R419" s="4"/>
    </row>
    <row r="420">
      <c r="R420" s="4"/>
    </row>
    <row r="421">
      <c r="R421" s="4"/>
    </row>
    <row r="422">
      <c r="R422" s="4"/>
    </row>
    <row r="423">
      <c r="R423" s="4"/>
    </row>
    <row r="424">
      <c r="R424" s="4"/>
    </row>
    <row r="425">
      <c r="R425" s="4"/>
    </row>
    <row r="426">
      <c r="R426" s="4"/>
    </row>
    <row r="427">
      <c r="R427" s="4"/>
    </row>
    <row r="428">
      <c r="R428" s="4"/>
    </row>
    <row r="429">
      <c r="R429" s="4"/>
    </row>
    <row r="430">
      <c r="R430" s="4"/>
    </row>
    <row r="431">
      <c r="R431" s="4"/>
    </row>
    <row r="432">
      <c r="R432" s="4"/>
    </row>
    <row r="433">
      <c r="R433" s="4"/>
    </row>
    <row r="434">
      <c r="R434" s="4"/>
    </row>
    <row r="435">
      <c r="R435" s="4"/>
    </row>
    <row r="436">
      <c r="R436" s="4"/>
    </row>
    <row r="437">
      <c r="R437" s="4"/>
    </row>
    <row r="438">
      <c r="R438" s="4"/>
    </row>
    <row r="439">
      <c r="R439" s="4"/>
    </row>
    <row r="440">
      <c r="R440" s="4"/>
    </row>
    <row r="441">
      <c r="R441" s="4"/>
    </row>
    <row r="442">
      <c r="R442" s="4"/>
    </row>
    <row r="443">
      <c r="R443" s="4"/>
    </row>
    <row r="444">
      <c r="R444" s="4"/>
    </row>
    <row r="445">
      <c r="R445" s="4"/>
    </row>
    <row r="446">
      <c r="R446" s="4"/>
    </row>
    <row r="447">
      <c r="R447" s="4"/>
    </row>
    <row r="448">
      <c r="R448" s="4"/>
    </row>
    <row r="449">
      <c r="R449" s="4"/>
    </row>
    <row r="450">
      <c r="R450" s="4"/>
    </row>
    <row r="451">
      <c r="R451" s="4"/>
    </row>
    <row r="452">
      <c r="R452" s="4"/>
    </row>
    <row r="453">
      <c r="R453" s="4"/>
    </row>
    <row r="454">
      <c r="R454" s="4"/>
    </row>
    <row r="455">
      <c r="R455" s="4"/>
    </row>
    <row r="456">
      <c r="R456" s="4"/>
    </row>
    <row r="457">
      <c r="R457" s="4"/>
    </row>
    <row r="458">
      <c r="R458" s="4"/>
    </row>
    <row r="459">
      <c r="R459" s="4"/>
    </row>
    <row r="460">
      <c r="R460" s="4"/>
    </row>
    <row r="461">
      <c r="R461" s="4"/>
    </row>
    <row r="462">
      <c r="R462" s="4"/>
    </row>
    <row r="463">
      <c r="R463" s="4"/>
    </row>
    <row r="464">
      <c r="R464" s="4"/>
    </row>
    <row r="465">
      <c r="R465" s="4"/>
    </row>
    <row r="466">
      <c r="R466" s="4"/>
    </row>
    <row r="467">
      <c r="R467" s="4"/>
    </row>
    <row r="468">
      <c r="R468" s="4"/>
    </row>
    <row r="469">
      <c r="R469" s="4"/>
    </row>
    <row r="470">
      <c r="R470" s="4"/>
    </row>
    <row r="471">
      <c r="R471" s="4"/>
    </row>
    <row r="472">
      <c r="R472" s="4"/>
    </row>
    <row r="473">
      <c r="R473" s="4"/>
    </row>
    <row r="474">
      <c r="R474" s="4"/>
    </row>
    <row r="475">
      <c r="R475" s="4"/>
    </row>
    <row r="476">
      <c r="R476" s="4"/>
    </row>
    <row r="477">
      <c r="R477" s="4"/>
    </row>
    <row r="478">
      <c r="R478" s="4"/>
    </row>
    <row r="479">
      <c r="R479" s="4"/>
    </row>
    <row r="480">
      <c r="R480" s="4"/>
    </row>
    <row r="481">
      <c r="R481" s="4"/>
    </row>
    <row r="482">
      <c r="R482" s="4"/>
    </row>
    <row r="483">
      <c r="R483" s="4"/>
    </row>
    <row r="484">
      <c r="R484" s="4"/>
    </row>
    <row r="485">
      <c r="R485" s="4"/>
    </row>
    <row r="486">
      <c r="R486" s="4"/>
    </row>
    <row r="487">
      <c r="R487" s="4"/>
    </row>
    <row r="488">
      <c r="R488" s="4"/>
    </row>
    <row r="489">
      <c r="R489" s="4"/>
    </row>
    <row r="490">
      <c r="R490" s="4"/>
    </row>
    <row r="491">
      <c r="R491" s="4"/>
    </row>
    <row r="492">
      <c r="R492" s="4"/>
    </row>
    <row r="493">
      <c r="R493" s="4"/>
    </row>
    <row r="494">
      <c r="R494" s="4"/>
    </row>
    <row r="495">
      <c r="R495" s="4"/>
    </row>
    <row r="496">
      <c r="R496" s="4"/>
    </row>
    <row r="497">
      <c r="R497" s="4"/>
    </row>
    <row r="498">
      <c r="R498" s="4"/>
    </row>
    <row r="499">
      <c r="R499" s="4"/>
    </row>
    <row r="500">
      <c r="R500" s="4"/>
    </row>
    <row r="501">
      <c r="R501" s="4"/>
    </row>
    <row r="502">
      <c r="R502" s="4"/>
    </row>
    <row r="503">
      <c r="R503" s="4"/>
    </row>
    <row r="504">
      <c r="R504" s="4"/>
    </row>
    <row r="505">
      <c r="R505" s="4"/>
    </row>
    <row r="506">
      <c r="R506" s="4"/>
    </row>
    <row r="507">
      <c r="R507" s="4"/>
    </row>
    <row r="508">
      <c r="R508" s="4"/>
    </row>
    <row r="509">
      <c r="R509" s="4"/>
    </row>
    <row r="510">
      <c r="R510" s="4"/>
    </row>
    <row r="511">
      <c r="R511" s="4"/>
    </row>
    <row r="512">
      <c r="R512" s="4"/>
    </row>
    <row r="513">
      <c r="R513" s="4"/>
    </row>
    <row r="514">
      <c r="R514" s="4"/>
    </row>
    <row r="515">
      <c r="R515" s="4"/>
    </row>
    <row r="516">
      <c r="R516" s="4"/>
    </row>
    <row r="517">
      <c r="R517" s="4"/>
    </row>
    <row r="518">
      <c r="R518" s="4"/>
    </row>
    <row r="519">
      <c r="R519" s="4"/>
    </row>
    <row r="520">
      <c r="R520" s="4"/>
    </row>
    <row r="521">
      <c r="R521" s="4"/>
    </row>
    <row r="522">
      <c r="R522" s="4"/>
    </row>
    <row r="523">
      <c r="R523" s="4"/>
    </row>
    <row r="524">
      <c r="R524" s="4"/>
    </row>
    <row r="525">
      <c r="R525" s="4"/>
    </row>
    <row r="526">
      <c r="R526" s="4"/>
    </row>
    <row r="527">
      <c r="R527" s="4"/>
    </row>
    <row r="528">
      <c r="R528" s="4"/>
    </row>
    <row r="529">
      <c r="R529" s="4"/>
    </row>
    <row r="530">
      <c r="R530" s="4"/>
    </row>
    <row r="531">
      <c r="R531" s="4"/>
    </row>
    <row r="532">
      <c r="R532" s="4"/>
    </row>
    <row r="533">
      <c r="R533" s="4"/>
    </row>
    <row r="534">
      <c r="R534" s="4"/>
    </row>
    <row r="535">
      <c r="R535" s="4"/>
    </row>
    <row r="536">
      <c r="R536" s="4"/>
    </row>
    <row r="537">
      <c r="R537" s="4"/>
    </row>
    <row r="538">
      <c r="R538" s="4"/>
    </row>
    <row r="539">
      <c r="R539" s="4"/>
    </row>
    <row r="540">
      <c r="R540" s="4"/>
    </row>
    <row r="541">
      <c r="R541" s="4"/>
    </row>
    <row r="542">
      <c r="R542" s="4"/>
    </row>
    <row r="543">
      <c r="R543" s="4"/>
    </row>
    <row r="544">
      <c r="R544" s="4"/>
    </row>
    <row r="545">
      <c r="R545" s="4"/>
    </row>
    <row r="546">
      <c r="R546" s="4"/>
    </row>
    <row r="547">
      <c r="R547" s="4"/>
    </row>
    <row r="548">
      <c r="R548" s="4"/>
    </row>
    <row r="549">
      <c r="R549" s="4"/>
    </row>
    <row r="550">
      <c r="R550" s="4"/>
    </row>
    <row r="551">
      <c r="R551" s="4"/>
    </row>
    <row r="552">
      <c r="R552" s="4"/>
    </row>
    <row r="553">
      <c r="R553" s="4"/>
    </row>
    <row r="554">
      <c r="R554" s="4"/>
    </row>
    <row r="555">
      <c r="R555" s="4"/>
    </row>
    <row r="556">
      <c r="R556" s="4"/>
    </row>
    <row r="557">
      <c r="R557" s="4"/>
    </row>
    <row r="558">
      <c r="R558" s="4"/>
    </row>
    <row r="559">
      <c r="R559" s="4"/>
    </row>
    <row r="560">
      <c r="R560" s="4"/>
    </row>
    <row r="561">
      <c r="R561" s="4"/>
    </row>
    <row r="562">
      <c r="R562" s="4"/>
    </row>
    <row r="563">
      <c r="R563" s="4"/>
    </row>
    <row r="564">
      <c r="R564" s="4"/>
    </row>
    <row r="565">
      <c r="R565" s="4"/>
    </row>
    <row r="566">
      <c r="R566" s="4"/>
    </row>
    <row r="567">
      <c r="R567" s="4"/>
    </row>
    <row r="568">
      <c r="R568" s="4"/>
    </row>
    <row r="569">
      <c r="R569" s="4"/>
    </row>
    <row r="570">
      <c r="R570" s="4"/>
    </row>
    <row r="571">
      <c r="R571" s="4"/>
    </row>
    <row r="572">
      <c r="R572" s="4"/>
    </row>
    <row r="573">
      <c r="R573" s="4"/>
    </row>
    <row r="574">
      <c r="R574" s="4"/>
    </row>
    <row r="575">
      <c r="R575" s="4"/>
    </row>
    <row r="576">
      <c r="R576" s="4"/>
    </row>
    <row r="577">
      <c r="R577" s="4"/>
    </row>
    <row r="578">
      <c r="R578" s="4"/>
    </row>
    <row r="579">
      <c r="R579" s="4"/>
    </row>
    <row r="580">
      <c r="R580" s="4"/>
    </row>
    <row r="581">
      <c r="R581" s="4"/>
    </row>
    <row r="582">
      <c r="R582" s="4"/>
    </row>
    <row r="583">
      <c r="R583" s="4"/>
    </row>
    <row r="584">
      <c r="R584" s="4"/>
    </row>
    <row r="585">
      <c r="R585" s="4"/>
    </row>
    <row r="586">
      <c r="R586" s="4"/>
    </row>
    <row r="587">
      <c r="R587" s="4"/>
    </row>
    <row r="588">
      <c r="R588" s="4"/>
    </row>
    <row r="589">
      <c r="R589" s="4"/>
    </row>
    <row r="590">
      <c r="R590" s="4"/>
    </row>
    <row r="591">
      <c r="R591" s="4"/>
    </row>
    <row r="592">
      <c r="R592" s="4"/>
    </row>
    <row r="593">
      <c r="R593" s="4"/>
    </row>
    <row r="594">
      <c r="R594" s="4"/>
    </row>
    <row r="595">
      <c r="R595" s="4"/>
    </row>
    <row r="596">
      <c r="R596" s="4"/>
    </row>
    <row r="597">
      <c r="R597" s="4"/>
    </row>
    <row r="598">
      <c r="R598" s="4"/>
    </row>
    <row r="599">
      <c r="R599" s="4"/>
    </row>
    <row r="600">
      <c r="R600" s="4"/>
    </row>
    <row r="601">
      <c r="R601" s="4"/>
    </row>
    <row r="602">
      <c r="R602" s="4"/>
    </row>
    <row r="603">
      <c r="R603" s="4"/>
    </row>
    <row r="604">
      <c r="R604" s="4"/>
    </row>
    <row r="605">
      <c r="R605" s="4"/>
    </row>
    <row r="606">
      <c r="R606" s="4"/>
    </row>
    <row r="607">
      <c r="R607" s="4"/>
    </row>
    <row r="608">
      <c r="R608" s="4"/>
    </row>
    <row r="609">
      <c r="R609" s="4"/>
    </row>
    <row r="610">
      <c r="R610" s="4"/>
    </row>
    <row r="611">
      <c r="R611" s="4"/>
    </row>
    <row r="612">
      <c r="R612" s="4"/>
    </row>
    <row r="613">
      <c r="R613" s="4"/>
    </row>
    <row r="614">
      <c r="R614" s="4"/>
    </row>
    <row r="615">
      <c r="R615" s="4"/>
    </row>
    <row r="616">
      <c r="R616" s="4"/>
    </row>
    <row r="617">
      <c r="R617" s="4"/>
    </row>
    <row r="618">
      <c r="R618" s="4"/>
    </row>
    <row r="619">
      <c r="R619" s="4"/>
    </row>
    <row r="620">
      <c r="R620" s="4"/>
    </row>
    <row r="621">
      <c r="R621" s="4"/>
    </row>
    <row r="622">
      <c r="R622" s="4"/>
    </row>
    <row r="623">
      <c r="R623" s="4"/>
    </row>
    <row r="624">
      <c r="R624" s="4"/>
    </row>
    <row r="625">
      <c r="R625" s="4"/>
    </row>
    <row r="626">
      <c r="R626" s="4"/>
    </row>
    <row r="627">
      <c r="R627" s="4"/>
    </row>
    <row r="628">
      <c r="R628" s="4"/>
    </row>
    <row r="629">
      <c r="R629" s="4"/>
    </row>
    <row r="630">
      <c r="R630" s="4"/>
    </row>
    <row r="631">
      <c r="R631" s="4"/>
    </row>
    <row r="632">
      <c r="R632" s="4"/>
    </row>
    <row r="633">
      <c r="R633" s="4"/>
    </row>
    <row r="634">
      <c r="R634" s="4"/>
    </row>
    <row r="635">
      <c r="R635" s="4"/>
    </row>
    <row r="636">
      <c r="R636" s="4"/>
    </row>
    <row r="637">
      <c r="R637" s="4"/>
    </row>
    <row r="638">
      <c r="R638" s="4"/>
    </row>
    <row r="639">
      <c r="R639" s="4"/>
    </row>
    <row r="640">
      <c r="R640" s="4"/>
    </row>
    <row r="641">
      <c r="R641" s="4"/>
    </row>
    <row r="642">
      <c r="R642" s="4"/>
    </row>
    <row r="643">
      <c r="R643" s="4"/>
    </row>
    <row r="644">
      <c r="R644" s="4"/>
    </row>
    <row r="645">
      <c r="R645" s="4"/>
    </row>
    <row r="646">
      <c r="R646" s="4"/>
    </row>
    <row r="647">
      <c r="R647" s="4"/>
    </row>
    <row r="648">
      <c r="R648" s="4"/>
    </row>
    <row r="649">
      <c r="R649" s="4"/>
    </row>
    <row r="650">
      <c r="R650" s="4"/>
    </row>
    <row r="651">
      <c r="R651" s="4"/>
    </row>
    <row r="652">
      <c r="R652" s="4"/>
    </row>
    <row r="653">
      <c r="R653" s="4"/>
    </row>
    <row r="654">
      <c r="R654" s="4"/>
    </row>
    <row r="655">
      <c r="R655" s="4"/>
    </row>
    <row r="656">
      <c r="R656" s="4"/>
    </row>
    <row r="657">
      <c r="R657" s="4"/>
    </row>
    <row r="658">
      <c r="R658" s="4"/>
    </row>
    <row r="659">
      <c r="R659" s="4"/>
    </row>
    <row r="660">
      <c r="R660" s="4"/>
    </row>
    <row r="661">
      <c r="R661" s="4"/>
    </row>
    <row r="662">
      <c r="R662" s="4"/>
    </row>
    <row r="663">
      <c r="R663" s="4"/>
    </row>
    <row r="664">
      <c r="R664" s="4"/>
    </row>
    <row r="665">
      <c r="R665" s="4"/>
    </row>
    <row r="666">
      <c r="R666" s="4"/>
    </row>
    <row r="667">
      <c r="R667" s="4"/>
    </row>
    <row r="668">
      <c r="R668" s="4"/>
    </row>
    <row r="669">
      <c r="R669" s="4"/>
    </row>
    <row r="670">
      <c r="R670" s="4"/>
    </row>
    <row r="671">
      <c r="R671" s="4"/>
    </row>
    <row r="672">
      <c r="R672" s="4"/>
    </row>
    <row r="673">
      <c r="R673" s="4"/>
    </row>
    <row r="674">
      <c r="R674" s="4"/>
    </row>
    <row r="675">
      <c r="R675" s="4"/>
    </row>
    <row r="676">
      <c r="R676" s="4"/>
    </row>
    <row r="677">
      <c r="R677" s="4"/>
    </row>
    <row r="678">
      <c r="R678" s="4"/>
    </row>
    <row r="679">
      <c r="R679" s="4"/>
    </row>
    <row r="680">
      <c r="R680" s="4"/>
    </row>
    <row r="681">
      <c r="R681" s="4"/>
    </row>
    <row r="682">
      <c r="R682" s="4"/>
    </row>
    <row r="683">
      <c r="R683" s="4"/>
    </row>
    <row r="684">
      <c r="R684" s="4"/>
    </row>
    <row r="685">
      <c r="R685" s="4"/>
    </row>
    <row r="686">
      <c r="R686" s="4"/>
    </row>
    <row r="687">
      <c r="R687" s="4"/>
    </row>
    <row r="688">
      <c r="R688" s="4"/>
    </row>
    <row r="689">
      <c r="R689" s="4"/>
    </row>
    <row r="690">
      <c r="R690" s="4"/>
    </row>
    <row r="691">
      <c r="R691" s="4"/>
    </row>
    <row r="692">
      <c r="R692" s="4"/>
    </row>
    <row r="693">
      <c r="R693" s="4"/>
    </row>
    <row r="694">
      <c r="R694" s="4"/>
    </row>
    <row r="695">
      <c r="R695" s="4"/>
    </row>
    <row r="696">
      <c r="R696" s="4"/>
    </row>
    <row r="697">
      <c r="R697" s="4"/>
    </row>
    <row r="698">
      <c r="R698" s="4"/>
    </row>
    <row r="699">
      <c r="R699" s="4"/>
    </row>
    <row r="700">
      <c r="R700" s="4"/>
    </row>
    <row r="701">
      <c r="R701" s="4"/>
    </row>
    <row r="702">
      <c r="R702" s="4"/>
    </row>
    <row r="703">
      <c r="R703" s="4"/>
    </row>
    <row r="704">
      <c r="R704" s="4"/>
    </row>
    <row r="705">
      <c r="R705" s="4"/>
    </row>
    <row r="706">
      <c r="R706" s="4"/>
    </row>
    <row r="707">
      <c r="R707" s="4"/>
    </row>
    <row r="708">
      <c r="R708" s="4"/>
    </row>
    <row r="709">
      <c r="R709" s="4"/>
    </row>
    <row r="710">
      <c r="R710" s="4"/>
    </row>
    <row r="711">
      <c r="R711" s="4"/>
    </row>
    <row r="712">
      <c r="R712" s="4"/>
    </row>
    <row r="713">
      <c r="R713" s="4"/>
    </row>
    <row r="714">
      <c r="R714" s="4"/>
    </row>
    <row r="715">
      <c r="R715" s="4"/>
    </row>
    <row r="716">
      <c r="R716" s="4"/>
    </row>
    <row r="717">
      <c r="R717" s="4"/>
    </row>
    <row r="718">
      <c r="R718" s="4"/>
    </row>
    <row r="719">
      <c r="R719" s="4"/>
    </row>
    <row r="720">
      <c r="R720" s="4"/>
    </row>
    <row r="721">
      <c r="R721" s="4"/>
    </row>
    <row r="722">
      <c r="R722" s="4"/>
    </row>
    <row r="723">
      <c r="R723" s="4"/>
    </row>
    <row r="724">
      <c r="R724" s="4"/>
    </row>
    <row r="725">
      <c r="R725" s="4"/>
    </row>
    <row r="726">
      <c r="R726" s="4"/>
    </row>
    <row r="727">
      <c r="R727" s="4"/>
    </row>
    <row r="728">
      <c r="R728" s="4"/>
    </row>
    <row r="729">
      <c r="R729" s="4"/>
    </row>
    <row r="730">
      <c r="R730" s="4"/>
    </row>
    <row r="731">
      <c r="R731" s="4"/>
    </row>
    <row r="732">
      <c r="R732" s="4"/>
    </row>
    <row r="733">
      <c r="R733" s="4"/>
    </row>
    <row r="734">
      <c r="R734" s="4"/>
    </row>
    <row r="735">
      <c r="R735" s="4"/>
    </row>
    <row r="736">
      <c r="R736" s="4"/>
    </row>
    <row r="737">
      <c r="R737" s="4"/>
    </row>
    <row r="738">
      <c r="R738" s="4"/>
    </row>
    <row r="739">
      <c r="R739" s="4"/>
    </row>
    <row r="740">
      <c r="R740" s="4"/>
    </row>
    <row r="741">
      <c r="R741" s="4"/>
    </row>
    <row r="742">
      <c r="R742" s="4"/>
    </row>
    <row r="743">
      <c r="R743" s="4"/>
    </row>
    <row r="744">
      <c r="R744" s="4"/>
    </row>
    <row r="745">
      <c r="R745" s="4"/>
    </row>
    <row r="746">
      <c r="R746" s="4"/>
    </row>
    <row r="747">
      <c r="R747" s="4"/>
    </row>
    <row r="748">
      <c r="R748" s="4"/>
    </row>
    <row r="749">
      <c r="R749" s="4"/>
    </row>
    <row r="750">
      <c r="R750" s="4"/>
    </row>
    <row r="751">
      <c r="R751" s="4"/>
    </row>
    <row r="752">
      <c r="R752" s="4"/>
    </row>
    <row r="753">
      <c r="R753" s="4"/>
    </row>
    <row r="754">
      <c r="R754" s="4"/>
    </row>
    <row r="755">
      <c r="R755" s="4"/>
    </row>
    <row r="756">
      <c r="R756" s="4"/>
    </row>
    <row r="757">
      <c r="R757" s="4"/>
    </row>
    <row r="758">
      <c r="R758" s="4"/>
    </row>
    <row r="759">
      <c r="R759" s="4"/>
    </row>
    <row r="760">
      <c r="R760" s="4"/>
    </row>
    <row r="761">
      <c r="R761" s="4"/>
    </row>
    <row r="762">
      <c r="R762" s="4"/>
    </row>
    <row r="763">
      <c r="R763" s="4"/>
    </row>
    <row r="764">
      <c r="R764" s="4"/>
    </row>
    <row r="765">
      <c r="R765" s="4"/>
    </row>
    <row r="766">
      <c r="R766" s="4"/>
    </row>
    <row r="767">
      <c r="R767" s="4"/>
    </row>
    <row r="768">
      <c r="R768" s="4"/>
    </row>
    <row r="769">
      <c r="R769" s="4"/>
    </row>
    <row r="770">
      <c r="R770" s="4"/>
    </row>
    <row r="771">
      <c r="R771" s="4"/>
    </row>
    <row r="772">
      <c r="R772" s="4"/>
    </row>
    <row r="773">
      <c r="R773" s="4"/>
    </row>
    <row r="774">
      <c r="R774" s="4"/>
    </row>
    <row r="775">
      <c r="R775" s="4"/>
    </row>
    <row r="776">
      <c r="R776" s="4"/>
    </row>
    <row r="777">
      <c r="R777" s="4"/>
    </row>
    <row r="778">
      <c r="R778" s="4"/>
    </row>
    <row r="779">
      <c r="R779" s="4"/>
    </row>
    <row r="780">
      <c r="R780" s="4"/>
    </row>
    <row r="781">
      <c r="R781" s="4"/>
    </row>
    <row r="782">
      <c r="R782" s="4"/>
    </row>
    <row r="783">
      <c r="R783" s="4"/>
    </row>
    <row r="784">
      <c r="R784" s="4"/>
    </row>
    <row r="785">
      <c r="R785" s="4"/>
    </row>
    <row r="786">
      <c r="R786" s="4"/>
    </row>
    <row r="787">
      <c r="R787" s="4"/>
    </row>
    <row r="788">
      <c r="R788" s="4"/>
    </row>
    <row r="789">
      <c r="R789" s="4"/>
    </row>
    <row r="790">
      <c r="R790" s="4"/>
    </row>
    <row r="791">
      <c r="R791" s="4"/>
    </row>
    <row r="792">
      <c r="R792" s="4"/>
    </row>
    <row r="793">
      <c r="R793" s="4"/>
    </row>
    <row r="794">
      <c r="R794" s="4"/>
    </row>
    <row r="795">
      <c r="R795" s="4"/>
    </row>
    <row r="796">
      <c r="R796" s="4"/>
    </row>
    <row r="797">
      <c r="R797" s="4"/>
    </row>
    <row r="798">
      <c r="R798" s="4"/>
    </row>
    <row r="799">
      <c r="R799" s="4"/>
    </row>
    <row r="800">
      <c r="R800" s="4"/>
    </row>
    <row r="801">
      <c r="R801" s="4"/>
    </row>
    <row r="802">
      <c r="R802" s="4"/>
    </row>
    <row r="803">
      <c r="R803" s="4"/>
    </row>
    <row r="804">
      <c r="R804" s="4"/>
    </row>
    <row r="805">
      <c r="R805" s="4"/>
    </row>
    <row r="806">
      <c r="R806" s="4"/>
    </row>
    <row r="807">
      <c r="R807" s="4"/>
    </row>
    <row r="808">
      <c r="R808" s="4"/>
    </row>
    <row r="809">
      <c r="R809" s="4"/>
    </row>
    <row r="810">
      <c r="R810" s="4"/>
    </row>
    <row r="811">
      <c r="R811" s="4"/>
    </row>
    <row r="812">
      <c r="R812" s="4"/>
    </row>
    <row r="813">
      <c r="R813" s="4"/>
    </row>
    <row r="814">
      <c r="R814" s="4"/>
    </row>
    <row r="815">
      <c r="R815" s="4"/>
    </row>
    <row r="816">
      <c r="R816" s="4"/>
    </row>
    <row r="817">
      <c r="R817" s="4"/>
    </row>
    <row r="818">
      <c r="R818" s="4"/>
    </row>
    <row r="819">
      <c r="R819" s="4"/>
    </row>
    <row r="820">
      <c r="R820" s="4"/>
    </row>
    <row r="821">
      <c r="R821" s="4"/>
    </row>
    <row r="822">
      <c r="R822" s="4"/>
    </row>
    <row r="823">
      <c r="R823" s="4"/>
    </row>
    <row r="824">
      <c r="R824" s="4"/>
    </row>
    <row r="825">
      <c r="R825" s="4"/>
    </row>
    <row r="826">
      <c r="R826" s="4"/>
    </row>
    <row r="827">
      <c r="R827" s="4"/>
    </row>
    <row r="828">
      <c r="R828" s="4"/>
    </row>
    <row r="829">
      <c r="R829" s="4"/>
    </row>
    <row r="830">
      <c r="R830" s="4"/>
    </row>
    <row r="831">
      <c r="R831" s="4"/>
    </row>
    <row r="832">
      <c r="R832" s="4"/>
    </row>
    <row r="833">
      <c r="R833" s="4"/>
    </row>
    <row r="834">
      <c r="R834" s="4"/>
    </row>
    <row r="835">
      <c r="R835" s="4"/>
    </row>
    <row r="836">
      <c r="R836" s="4"/>
    </row>
    <row r="837">
      <c r="R837" s="4"/>
    </row>
    <row r="838">
      <c r="R838" s="4"/>
    </row>
    <row r="839">
      <c r="R839" s="4"/>
    </row>
    <row r="840">
      <c r="R840" s="4"/>
    </row>
    <row r="841">
      <c r="R841" s="4"/>
    </row>
    <row r="842">
      <c r="R842" s="4"/>
    </row>
    <row r="843">
      <c r="R843" s="4"/>
    </row>
    <row r="844">
      <c r="R844" s="4"/>
    </row>
    <row r="845">
      <c r="R845" s="4"/>
    </row>
    <row r="846">
      <c r="R846" s="4"/>
    </row>
    <row r="847">
      <c r="R847" s="4"/>
    </row>
    <row r="848">
      <c r="R848" s="4"/>
    </row>
    <row r="849">
      <c r="R849" s="4"/>
    </row>
    <row r="850">
      <c r="R850" s="4"/>
    </row>
    <row r="851">
      <c r="R851" s="4"/>
    </row>
    <row r="852">
      <c r="R852" s="4"/>
    </row>
    <row r="853">
      <c r="R853" s="4"/>
    </row>
    <row r="854">
      <c r="R854" s="4"/>
    </row>
    <row r="855">
      <c r="R855" s="4"/>
    </row>
    <row r="856">
      <c r="R856" s="4"/>
    </row>
    <row r="857">
      <c r="R857" s="4"/>
    </row>
    <row r="858">
      <c r="R858" s="4"/>
    </row>
    <row r="859">
      <c r="R859" s="4"/>
    </row>
    <row r="860">
      <c r="R860" s="4"/>
    </row>
    <row r="861">
      <c r="R861" s="4"/>
    </row>
    <row r="862">
      <c r="R862" s="4"/>
    </row>
    <row r="863">
      <c r="R863" s="4"/>
    </row>
    <row r="864">
      <c r="R864" s="4"/>
    </row>
    <row r="865">
      <c r="R865" s="4"/>
    </row>
    <row r="866">
      <c r="R866" s="4"/>
    </row>
    <row r="867">
      <c r="R867" s="4"/>
    </row>
    <row r="868">
      <c r="R868" s="4"/>
    </row>
    <row r="869">
      <c r="R869" s="4"/>
    </row>
    <row r="870">
      <c r="R870" s="4"/>
    </row>
    <row r="871">
      <c r="R871" s="4"/>
    </row>
    <row r="872">
      <c r="R872" s="4"/>
    </row>
    <row r="873">
      <c r="R873" s="4"/>
    </row>
    <row r="874">
      <c r="R874" s="4"/>
    </row>
    <row r="875">
      <c r="R875" s="4"/>
    </row>
    <row r="876">
      <c r="R876" s="4"/>
    </row>
    <row r="877">
      <c r="R877" s="4"/>
    </row>
    <row r="878">
      <c r="R878" s="4"/>
    </row>
    <row r="879">
      <c r="R879" s="4"/>
    </row>
    <row r="880">
      <c r="R880" s="4"/>
    </row>
    <row r="881">
      <c r="R881" s="4"/>
    </row>
    <row r="882">
      <c r="R882" s="4"/>
    </row>
    <row r="883">
      <c r="R883" s="4"/>
    </row>
    <row r="884">
      <c r="R884" s="4"/>
    </row>
    <row r="885">
      <c r="R885" s="4"/>
    </row>
    <row r="886">
      <c r="R886" s="4"/>
    </row>
    <row r="887">
      <c r="R887" s="4"/>
    </row>
    <row r="888">
      <c r="R888" s="4"/>
    </row>
    <row r="889">
      <c r="R889" s="4"/>
    </row>
    <row r="890">
      <c r="R890" s="4"/>
    </row>
    <row r="891">
      <c r="R891" s="4"/>
    </row>
    <row r="892">
      <c r="R892" s="4"/>
    </row>
    <row r="893">
      <c r="R893" s="4"/>
    </row>
    <row r="894">
      <c r="R894" s="4"/>
    </row>
    <row r="895">
      <c r="R895" s="4"/>
    </row>
    <row r="896">
      <c r="R896" s="4"/>
    </row>
    <row r="897">
      <c r="R897" s="4"/>
    </row>
    <row r="898">
      <c r="R898" s="4"/>
    </row>
    <row r="899">
      <c r="R899" s="4"/>
    </row>
    <row r="900">
      <c r="R900" s="4"/>
    </row>
    <row r="901">
      <c r="R901" s="4"/>
    </row>
    <row r="902">
      <c r="R902" s="4"/>
    </row>
    <row r="903">
      <c r="R903" s="4"/>
    </row>
    <row r="904">
      <c r="R904" s="4"/>
    </row>
    <row r="905">
      <c r="R905" s="4"/>
    </row>
    <row r="906">
      <c r="R906" s="4"/>
    </row>
    <row r="907">
      <c r="R907" s="4"/>
    </row>
    <row r="908">
      <c r="R908" s="4"/>
    </row>
    <row r="909">
      <c r="R909" s="4"/>
    </row>
    <row r="910">
      <c r="R910" s="4"/>
    </row>
    <row r="911">
      <c r="R911" s="4"/>
    </row>
    <row r="912">
      <c r="R912" s="4"/>
    </row>
    <row r="913">
      <c r="R913" s="4"/>
    </row>
    <row r="914">
      <c r="R914" s="4"/>
    </row>
    <row r="915">
      <c r="R915" s="4"/>
    </row>
    <row r="916">
      <c r="R916" s="4"/>
    </row>
    <row r="917">
      <c r="R917" s="4"/>
    </row>
    <row r="918">
      <c r="R918" s="4"/>
    </row>
    <row r="919">
      <c r="R919" s="4"/>
    </row>
    <row r="920">
      <c r="R920" s="4"/>
    </row>
    <row r="921">
      <c r="R921" s="4"/>
    </row>
    <row r="922">
      <c r="R922" s="4"/>
    </row>
    <row r="923">
      <c r="R923" s="4"/>
    </row>
    <row r="924">
      <c r="R924" s="4"/>
    </row>
    <row r="925">
      <c r="R925" s="4"/>
    </row>
    <row r="926">
      <c r="R926" s="4"/>
    </row>
    <row r="927">
      <c r="R927" s="4"/>
    </row>
    <row r="928">
      <c r="R928" s="4"/>
    </row>
    <row r="929">
      <c r="R929" s="4"/>
    </row>
    <row r="930">
      <c r="R930" s="4"/>
    </row>
    <row r="931">
      <c r="R931" s="4"/>
    </row>
    <row r="932">
      <c r="R932" s="4"/>
    </row>
    <row r="933">
      <c r="R933" s="4"/>
    </row>
    <row r="934">
      <c r="R934" s="4"/>
    </row>
    <row r="935">
      <c r="R935" s="4"/>
    </row>
    <row r="936">
      <c r="R936" s="4"/>
    </row>
    <row r="937">
      <c r="R937" s="4"/>
    </row>
    <row r="938">
      <c r="R938" s="4"/>
    </row>
    <row r="939">
      <c r="R939" s="4"/>
    </row>
    <row r="940">
      <c r="R940" s="4"/>
    </row>
    <row r="941">
      <c r="R941" s="4"/>
    </row>
    <row r="942">
      <c r="R942" s="4"/>
    </row>
    <row r="943">
      <c r="R943" s="4"/>
    </row>
    <row r="944">
      <c r="R944" s="4"/>
    </row>
    <row r="945">
      <c r="R945" s="4"/>
    </row>
    <row r="946">
      <c r="R946" s="4"/>
    </row>
    <row r="947">
      <c r="R947" s="4"/>
    </row>
    <row r="948">
      <c r="R948" s="4"/>
    </row>
    <row r="949">
      <c r="R949" s="4"/>
    </row>
    <row r="950">
      <c r="R950" s="4"/>
    </row>
    <row r="951">
      <c r="R951" s="4"/>
    </row>
    <row r="952">
      <c r="R952" s="4"/>
    </row>
    <row r="953">
      <c r="R953" s="4"/>
    </row>
    <row r="954">
      <c r="R954" s="4"/>
    </row>
    <row r="955">
      <c r="R955" s="4"/>
    </row>
    <row r="956">
      <c r="R956" s="4"/>
    </row>
    <row r="957">
      <c r="R957" s="4"/>
    </row>
    <row r="958">
      <c r="R958" s="4"/>
    </row>
    <row r="959">
      <c r="R959" s="4"/>
    </row>
    <row r="960">
      <c r="R960" s="4"/>
    </row>
    <row r="961">
      <c r="R961" s="4"/>
    </row>
    <row r="962">
      <c r="R962" s="4"/>
    </row>
    <row r="963">
      <c r="R963" s="4"/>
    </row>
    <row r="964">
      <c r="R964" s="4"/>
    </row>
    <row r="965">
      <c r="R965" s="4"/>
    </row>
    <row r="966">
      <c r="R966" s="4"/>
    </row>
    <row r="967">
      <c r="R967" s="4"/>
    </row>
    <row r="968">
      <c r="R968" s="4"/>
    </row>
    <row r="969">
      <c r="R969" s="4"/>
    </row>
    <row r="970">
      <c r="R970" s="4"/>
    </row>
    <row r="971">
      <c r="R971" s="4"/>
    </row>
    <row r="972">
      <c r="R972" s="4"/>
    </row>
    <row r="973">
      <c r="R973" s="4"/>
    </row>
    <row r="974">
      <c r="R974" s="4"/>
    </row>
    <row r="975">
      <c r="R975" s="4"/>
    </row>
    <row r="976">
      <c r="R976" s="4"/>
    </row>
    <row r="977">
      <c r="R977" s="4"/>
    </row>
    <row r="978">
      <c r="R978" s="4"/>
    </row>
    <row r="979">
      <c r="R979" s="4"/>
    </row>
    <row r="980">
      <c r="R980" s="4"/>
    </row>
    <row r="981">
      <c r="R981" s="4"/>
    </row>
    <row r="982">
      <c r="R982" s="4"/>
    </row>
    <row r="983">
      <c r="R983" s="4"/>
    </row>
    <row r="984">
      <c r="R984" s="4"/>
    </row>
    <row r="985">
      <c r="R985" s="4"/>
    </row>
    <row r="986">
      <c r="R986" s="4"/>
    </row>
    <row r="987">
      <c r="R987" s="4"/>
    </row>
    <row r="988">
      <c r="R988" s="4"/>
    </row>
    <row r="989">
      <c r="R989" s="4"/>
    </row>
    <row r="990">
      <c r="R990" s="4"/>
    </row>
    <row r="991">
      <c r="R991" s="4"/>
    </row>
    <row r="992">
      <c r="R992" s="4"/>
    </row>
    <row r="993">
      <c r="R993" s="4"/>
    </row>
    <row r="994">
      <c r="R994" s="4"/>
    </row>
    <row r="995">
      <c r="R995" s="4"/>
    </row>
    <row r="996">
      <c r="R996" s="4"/>
    </row>
    <row r="997">
      <c r="R997" s="4"/>
    </row>
    <row r="998">
      <c r="R998" s="4"/>
    </row>
    <row r="999">
      <c r="R999" s="4"/>
    </row>
    <row r="1000">
      <c r="R1000" s="4"/>
    </row>
  </sheetData>
  <mergeCells count="8">
    <mergeCell ref="B1:C1"/>
    <mergeCell ref="D1:E1"/>
    <mergeCell ref="F1:G1"/>
    <mergeCell ref="H1:I1"/>
    <mergeCell ref="J1:K1"/>
    <mergeCell ref="L1:M1"/>
    <mergeCell ref="N1:O1"/>
    <mergeCell ref="P1:Q1"/>
  </mergeCells>
  <drawing r:id="rId1"/>
</worksheet>
</file>